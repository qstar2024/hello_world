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90" windowWidth="18315" windowHeight="8250"/>
  </bookViews>
  <sheets>
    <sheet name="Sheet1" sheetId="1" r:id="rId1"/>
    <sheet name="Sheet2" sheetId="2" state="hidden" r:id="rId2"/>
  </sheets>
  <calcPr calcId="125725"/>
</workbook>
</file>

<file path=xl/calcChain.xml><?xml version="1.0" encoding="utf-8"?>
<calcChain xmlns="http://schemas.openxmlformats.org/spreadsheetml/2006/main">
  <c r="A1" i="1"/>
  <c r="A2"/>
  <c r="B2"/>
  <c r="C2"/>
  <c r="A3"/>
  <c r="B3"/>
  <c r="C3"/>
  <c r="A4"/>
  <c r="B4"/>
  <c r="C4"/>
  <c r="A5"/>
  <c r="B5"/>
  <c r="C5"/>
  <c r="A6"/>
  <c r="B6"/>
  <c r="C6"/>
  <c r="B1"/>
  <c r="C1"/>
  <c r="D1" l="1"/>
  <c r="D3"/>
  <c r="E3" s="1"/>
  <c r="D5"/>
  <c r="E5" s="1"/>
  <c r="D6"/>
  <c r="E6" s="1"/>
  <c r="D4"/>
  <c r="E4" s="1"/>
  <c r="D2"/>
  <c r="E2" s="1"/>
  <c r="A19" l="1" a="1"/>
  <c r="A19" s="1"/>
  <c r="G19"/>
  <c r="C19"/>
  <c r="G17"/>
  <c r="C17"/>
  <c r="G15"/>
  <c r="C15"/>
  <c r="G13"/>
  <c r="C13"/>
  <c r="G21"/>
  <c r="D21"/>
  <c r="E1"/>
  <c r="F17"/>
  <c r="E17"/>
  <c r="F19"/>
  <c r="E19"/>
  <c r="F13"/>
  <c r="E13"/>
  <c r="F21"/>
  <c r="E21"/>
  <c r="F15"/>
  <c r="E15"/>
  <c r="A13" l="1" a="1"/>
  <c r="A13" s="1"/>
  <c r="D11"/>
  <c r="G11"/>
  <c r="F11"/>
  <c r="E11"/>
  <c r="I15" l="1" a="1"/>
  <c r="I15" s="1"/>
  <c r="I17" a="1"/>
  <c r="I17" s="1"/>
  <c r="I19" a="1"/>
  <c r="I19" s="1"/>
  <c r="I21" a="1"/>
  <c r="I21" s="1"/>
  <c r="I13" a="1"/>
  <c r="I13" s="1"/>
  <c r="I23" a="1"/>
  <c r="I23" s="1"/>
  <c r="I11" a="1"/>
  <c r="I11" s="1"/>
  <c r="F9" a="1"/>
  <c r="F9" s="1"/>
  <c r="I9" a="1"/>
  <c r="I9" s="1"/>
</calcChain>
</file>

<file path=xl/sharedStrings.xml><?xml version="1.0" encoding="utf-8"?>
<sst xmlns="http://schemas.openxmlformats.org/spreadsheetml/2006/main" count="668" uniqueCount="531">
  <si>
    <t>初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</si>
  <si>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</si>
  <si>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</si>
  <si>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</si>
  <si>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</si>
  <si>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上</t>
    <phoneticPr fontId="1" type="noConversion"/>
  </si>
  <si>
    <t>乾</t>
    <phoneticPr fontId="1" type="noConversion"/>
  </si>
  <si>
    <t>坤</t>
    <phoneticPr fontId="1" type="noConversion"/>
  </si>
  <si>
    <t>震</t>
    <phoneticPr fontId="1" type="noConversion"/>
  </si>
  <si>
    <t>坎</t>
    <phoneticPr fontId="1" type="noConversion"/>
  </si>
  <si>
    <t>水</t>
    <phoneticPr fontId="1" type="noConversion"/>
  </si>
  <si>
    <t>雷</t>
    <phoneticPr fontId="1" type="noConversion"/>
  </si>
  <si>
    <t>天</t>
    <phoneticPr fontId="1" type="noConversion"/>
  </si>
  <si>
    <t>地</t>
    <phoneticPr fontId="1" type="noConversion"/>
  </si>
  <si>
    <t>离</t>
    <phoneticPr fontId="1" type="noConversion"/>
  </si>
  <si>
    <t>火</t>
    <phoneticPr fontId="1" type="noConversion"/>
  </si>
  <si>
    <t>兑</t>
    <phoneticPr fontId="1" type="noConversion"/>
  </si>
  <si>
    <t>艮</t>
    <phoneticPr fontId="1" type="noConversion"/>
  </si>
  <si>
    <t>巽</t>
    <phoneticPr fontId="1" type="noConversion"/>
  </si>
  <si>
    <t>风</t>
    <phoneticPr fontId="1" type="noConversion"/>
  </si>
  <si>
    <t>山</t>
    <phoneticPr fontId="1" type="noConversion"/>
  </si>
  <si>
    <t>泽</t>
    <phoneticPr fontId="1" type="noConversion"/>
  </si>
  <si>
    <t>姤</t>
    <phoneticPr fontId="1" type="noConversion"/>
  </si>
  <si>
    <t>遁</t>
    <phoneticPr fontId="1" type="noConversion"/>
  </si>
  <si>
    <t>否</t>
    <phoneticPr fontId="1" type="noConversion"/>
  </si>
  <si>
    <t>观</t>
    <phoneticPr fontId="1" type="noConversion"/>
  </si>
  <si>
    <t>剥</t>
    <phoneticPr fontId="1" type="noConversion"/>
  </si>
  <si>
    <t>晋</t>
    <phoneticPr fontId="1" type="noConversion"/>
  </si>
  <si>
    <t>大有</t>
    <phoneticPr fontId="1" type="noConversion"/>
  </si>
  <si>
    <t>困</t>
    <phoneticPr fontId="1" type="noConversion"/>
  </si>
  <si>
    <t>萃</t>
    <phoneticPr fontId="1" type="noConversion"/>
  </si>
  <si>
    <t>咸</t>
    <phoneticPr fontId="1" type="noConversion"/>
  </si>
  <si>
    <t>蹇</t>
    <phoneticPr fontId="1" type="noConversion"/>
  </si>
  <si>
    <t>谦</t>
    <phoneticPr fontId="1" type="noConversion"/>
  </si>
  <si>
    <t>小过</t>
    <phoneticPr fontId="1" type="noConversion"/>
  </si>
  <si>
    <t>归妹</t>
    <phoneticPr fontId="1" type="noConversion"/>
  </si>
  <si>
    <t>旅</t>
    <phoneticPr fontId="1" type="noConversion"/>
  </si>
  <si>
    <t>鼎</t>
    <phoneticPr fontId="1" type="noConversion"/>
  </si>
  <si>
    <t>未济</t>
    <phoneticPr fontId="1" type="noConversion"/>
  </si>
  <si>
    <t>蒙</t>
    <phoneticPr fontId="1" type="noConversion"/>
  </si>
  <si>
    <t>涣</t>
    <phoneticPr fontId="1" type="noConversion"/>
  </si>
  <si>
    <t>讼</t>
    <phoneticPr fontId="1" type="noConversion"/>
  </si>
  <si>
    <t>同人</t>
    <phoneticPr fontId="1" type="noConversion"/>
  </si>
  <si>
    <t>豫</t>
    <phoneticPr fontId="1" type="noConversion"/>
  </si>
  <si>
    <t>解</t>
    <phoneticPr fontId="1" type="noConversion"/>
  </si>
  <si>
    <t>恒</t>
    <phoneticPr fontId="1" type="noConversion"/>
  </si>
  <si>
    <t>升</t>
    <phoneticPr fontId="1" type="noConversion"/>
  </si>
  <si>
    <t>井</t>
    <phoneticPr fontId="1" type="noConversion"/>
  </si>
  <si>
    <t>大过</t>
    <phoneticPr fontId="1" type="noConversion"/>
  </si>
  <si>
    <t>随</t>
    <phoneticPr fontId="1" type="noConversion"/>
  </si>
  <si>
    <t>小畜</t>
    <phoneticPr fontId="1" type="noConversion"/>
  </si>
  <si>
    <t>家人</t>
    <phoneticPr fontId="1" type="noConversion"/>
  </si>
  <si>
    <t>益</t>
    <phoneticPr fontId="1" type="noConversion"/>
  </si>
  <si>
    <t>无妄</t>
    <phoneticPr fontId="1" type="noConversion"/>
  </si>
  <si>
    <t>噬嗑</t>
    <phoneticPr fontId="1" type="noConversion"/>
  </si>
  <si>
    <t>颐</t>
    <phoneticPr fontId="1" type="noConversion"/>
  </si>
  <si>
    <t>蛊</t>
    <phoneticPr fontId="1" type="noConversion"/>
  </si>
  <si>
    <t>节</t>
    <phoneticPr fontId="1" type="noConversion"/>
  </si>
  <si>
    <t>屯</t>
    <phoneticPr fontId="1" type="noConversion"/>
  </si>
  <si>
    <t>既济</t>
    <phoneticPr fontId="1" type="noConversion"/>
  </si>
  <si>
    <t>革</t>
    <phoneticPr fontId="1" type="noConversion"/>
  </si>
  <si>
    <t>丰</t>
    <phoneticPr fontId="1" type="noConversion"/>
  </si>
  <si>
    <t>明夷</t>
    <phoneticPr fontId="1" type="noConversion"/>
  </si>
  <si>
    <t>师</t>
    <phoneticPr fontId="1" type="noConversion"/>
  </si>
  <si>
    <t>贲</t>
    <phoneticPr fontId="1" type="noConversion"/>
  </si>
  <si>
    <t>大畜</t>
    <phoneticPr fontId="1" type="noConversion"/>
  </si>
  <si>
    <t>损</t>
    <phoneticPr fontId="1" type="noConversion"/>
  </si>
  <si>
    <t>睽</t>
    <phoneticPr fontId="1" type="noConversion"/>
  </si>
  <si>
    <t>履</t>
    <phoneticPr fontId="1" type="noConversion"/>
  </si>
  <si>
    <t>中孚</t>
    <phoneticPr fontId="1" type="noConversion"/>
  </si>
  <si>
    <t>渐</t>
    <phoneticPr fontId="1" type="noConversion"/>
  </si>
  <si>
    <t>复</t>
    <phoneticPr fontId="1" type="noConversion"/>
  </si>
  <si>
    <t>临</t>
    <phoneticPr fontId="1" type="noConversion"/>
  </si>
  <si>
    <t>泰</t>
    <phoneticPr fontId="1" type="noConversion"/>
  </si>
  <si>
    <t>大壮</t>
    <phoneticPr fontId="1" type="noConversion"/>
  </si>
  <si>
    <t>夬</t>
    <phoneticPr fontId="1" type="noConversion"/>
  </si>
  <si>
    <t>需</t>
    <phoneticPr fontId="1" type="noConversion"/>
  </si>
  <si>
    <t>比</t>
    <phoneticPr fontId="1" type="noConversion"/>
  </si>
  <si>
    <t>下</t>
    <phoneticPr fontId="1" type="noConversion"/>
  </si>
  <si>
    <t>乾，元亨利贞。</t>
  </si>
  <si>
    <t>初九，潜龙勿用。</t>
  </si>
  <si>
    <t>九二，见龙在田，利见大人。</t>
  </si>
  <si>
    <t>九三，君子终日乾乾，夕惕若，厉无咎。</t>
  </si>
  <si>
    <t>九四，或跃在渊，无咎。</t>
  </si>
  <si>
    <t>九五，飞龙在天，利见大人。</t>
  </si>
  <si>
    <t>上九，亢龙有悔。</t>
  </si>
  <si>
    <t>用九，见群龙无首，吉。</t>
  </si>
  <si>
    <t>坤，元亨，利牝马之贞。君子有攸往，先迷后得主。利西南得朋，东北丧朋，安贞吉。</t>
  </si>
  <si>
    <t>初六，履霜坚冰至。</t>
  </si>
  <si>
    <t>六二，直方大，不习无不利。</t>
  </si>
  <si>
    <t>六三，含章可贞，或从王事，无成有终。</t>
  </si>
  <si>
    <t>六四，括囊，无咎无誉。</t>
  </si>
  <si>
    <t>六五，黄裳，元吉。</t>
  </si>
  <si>
    <t>上六，龙战于野，其血玄黄。</t>
  </si>
  <si>
    <t>用六，利永贞。</t>
  </si>
  <si>
    <t>屯，元亨利贞，勿用有攸往，利建侯。</t>
  </si>
  <si>
    <t>初九，磐桓，利居贞，利建侯。</t>
  </si>
  <si>
    <t>六二，屯如邅如，乘马班如，匪寇婚媾。女子贞不字，十年乃字。</t>
  </si>
  <si>
    <t>六三，即鹿无虞，惟入于林中，君子几，不如舍，往吝。</t>
  </si>
  <si>
    <t>六四，乘马班如，求婚媾，往吉，无不利。</t>
  </si>
  <si>
    <t>九五，屯其膏，小贞吉，大贞凶。</t>
  </si>
  <si>
    <t>上六，乘马班如，泣血涟如。</t>
  </si>
  <si>
    <t>蒙，亨，匪我求童蒙，童蒙求我。初筮告，再三渎，渎则不告，利贞。</t>
  </si>
  <si>
    <t>初六，发蒙，利用刑人，用说桎梏，以往，吝。</t>
  </si>
  <si>
    <t>九二，包蒙吉，纳妇吉，子克家。</t>
  </si>
  <si>
    <t>六三，勿用取女，见金夫，不有躬，无攸利。</t>
  </si>
  <si>
    <t>六四，困蒙，吝。</t>
  </si>
  <si>
    <t>六五，童蒙，吉。</t>
  </si>
  <si>
    <t>上九，击蒙，不利为寇，利御寇。</t>
  </si>
  <si>
    <t>需，有孚，光亨，贞吉，利涉大川。</t>
  </si>
  <si>
    <t>初九，需于郊，利用恒，无咎。</t>
  </si>
  <si>
    <t>九二，需于沙，小有言，终吉。</t>
  </si>
  <si>
    <t>九三，需于泥，致寇至。</t>
  </si>
  <si>
    <t>六四，需于血，出自穴。</t>
  </si>
  <si>
    <t>九五，需于酒食，贞吉。</t>
  </si>
  <si>
    <t>上六，入于穴，有不速之客三人来，敬之终吉。</t>
  </si>
  <si>
    <t>讼，有孚，窒惕，中吉，终凶。利见大人，不利涉大川。</t>
  </si>
  <si>
    <t>初六，不永所事，小有言，终吉。</t>
  </si>
  <si>
    <t>九二，不克讼，归而逋，其邑人三百户，无眚。</t>
  </si>
  <si>
    <t>六三，食旧德，贞，厉，终吉，或从王事，无成。</t>
  </si>
  <si>
    <t>九四，不克讼，复即命渝，安贞，吉。</t>
  </si>
  <si>
    <t>九五，讼，元吉。</t>
  </si>
  <si>
    <t>上九，或锡之鞶带，终朝三褫（ｃｈǐ）之。</t>
  </si>
  <si>
    <t>师，贞，丈人吉，无咎。</t>
  </si>
  <si>
    <t>初六，师出以律，否臧凶。</t>
  </si>
  <si>
    <t>九二，在师中，吉无咎，王三锡命。</t>
  </si>
  <si>
    <t>六三，师或舆尸，凶。</t>
  </si>
  <si>
    <t>六四，师左次，无咎。</t>
  </si>
  <si>
    <t>六五，田有禽，利执言，无咎。长子帅师，弟子舆尸，贞凶。</t>
  </si>
  <si>
    <t>上六，大君有命，开国承家，小人勿用。</t>
  </si>
  <si>
    <t>比，吉。原筮，元永贞，无咎。不宁方来，后夫凶。</t>
  </si>
  <si>
    <t>初六，有孚，比之，无咎。有孚，盈缶，终来有它，吉。</t>
  </si>
  <si>
    <t>六二，比之自内，贞吉。</t>
  </si>
  <si>
    <t>六三，比之匪人。</t>
  </si>
  <si>
    <t>六四，外比之，贞吉。</t>
  </si>
  <si>
    <t>九五，显比。王用三驱，失前禽，邑人不诫，吉。</t>
  </si>
  <si>
    <t>上六，比之无首，凶。</t>
  </si>
  <si>
    <t>小畜，亨。密云不雨，自我西郊。</t>
  </si>
  <si>
    <t>初九，复自道，何其咎，吉。</t>
  </si>
  <si>
    <t>九二，牵复，吉。</t>
  </si>
  <si>
    <t>九三，舆说辐，夫妻反目。</t>
  </si>
  <si>
    <t>六四，有孚，血去，惕出，无咎。</t>
  </si>
  <si>
    <t>九五，有孚挛如，富以其邻。</t>
  </si>
  <si>
    <t>上九，既雨既处，尚德载。妇贞厉。月几望，君子征凶。</t>
  </si>
  <si>
    <t>履，履虎尾，不咥人，亨。</t>
  </si>
  <si>
    <t>初九，素履往，无咎。</t>
  </si>
  <si>
    <t>九二，履道坦坦，幽人贞吉。</t>
  </si>
  <si>
    <t>六三，眇能视，跛能履。履虎尾，咥人，凶，武人为于大君。</t>
  </si>
  <si>
    <t>九四，履虎尾，诉诉终吉。</t>
  </si>
  <si>
    <t>九五，夬履，贞厉。</t>
  </si>
  <si>
    <t>上九，视履考祥，其旋元吉。</t>
  </si>
  <si>
    <t>泰，小往大来，吉亨。</t>
  </si>
  <si>
    <t>初九，拔茅茹以其汇，征吉。</t>
  </si>
  <si>
    <t>九二，包荒，用冯河，不遐遗，朋亡，得尚于中行。</t>
  </si>
  <si>
    <t>九三，无平不陂，无往不复，艰贞无咎。勿恤其孚，于食有福。</t>
  </si>
  <si>
    <t>六四，翩翩不富，以其邻不戒以孚。</t>
  </si>
  <si>
    <t>六五，帝乙归妹，以祉元吉。</t>
  </si>
  <si>
    <t>上六，城复于隍，勿用师。自邑告命，贞吝。</t>
  </si>
  <si>
    <t>否，否之匪人，不利君子贞，大往小来。</t>
  </si>
  <si>
    <t>初六，拔茅茹，以其汇，贞吉亨。</t>
  </si>
  <si>
    <t>六二，包承，小人吉，大人否，亨。</t>
  </si>
  <si>
    <t>六三，包羞。</t>
  </si>
  <si>
    <t>九四，有命，无咎，畴离祉。</t>
  </si>
  <si>
    <t>九五，休否，大人吉。其亡其亡，系于苞桑。</t>
  </si>
  <si>
    <t>上九，倾否，先否后喜。</t>
  </si>
  <si>
    <t>同人，同人于野，亨。利涉大川，利君子贞。</t>
  </si>
  <si>
    <t>初九，同人于门，无咎。</t>
  </si>
  <si>
    <t>六二，同人于宗，吝。</t>
  </si>
  <si>
    <t>九三，伏戎于莽，升其高陵，三岁不兴。</t>
  </si>
  <si>
    <t>九四，乘其墉，弗克攻，吉。</t>
  </si>
  <si>
    <t>九五，同人先号咷而后笑，大师克相遇。</t>
  </si>
  <si>
    <t>上九，同人于郊，无悔。</t>
  </si>
  <si>
    <t>大有，元亨。</t>
  </si>
  <si>
    <t>初九，无交害，匪咎，艰则无咎。</t>
  </si>
  <si>
    <t>九二，大车以载，有攸往，无咎。</t>
  </si>
  <si>
    <t>九三，公用亨于天子，小人弗克。</t>
  </si>
  <si>
    <t>九四，匪其彭，无咎。</t>
  </si>
  <si>
    <t>六五，厥孚交如，威如，吉。</t>
  </si>
  <si>
    <t>上九，自天佑之，吉无不利。</t>
  </si>
  <si>
    <t>谦，亨，君子有终。</t>
  </si>
  <si>
    <t>初六，谦谦君子，用涉大川，吉。</t>
  </si>
  <si>
    <t>六二，鸣谦，贞吉。</t>
  </si>
  <si>
    <t>九三，劳谦君子，有终吉。</t>
  </si>
  <si>
    <t>六四，无不利，（ｈｕī）谦。</t>
  </si>
  <si>
    <t>六五，不富以其邻，利用侵伐，无不利。</t>
  </si>
  <si>
    <t>上六，鸣谦，利用行师，征邑国。</t>
  </si>
  <si>
    <t>豫，利建侯行师。</t>
  </si>
  <si>
    <t>初六，鸣豫，凶。</t>
  </si>
  <si>
    <t>六二，介于石，不终日，贞吉。</t>
  </si>
  <si>
    <t>六三，盱豫，悔；迟有悔。</t>
  </si>
  <si>
    <t>九四，由豫，大有得，勿疑，朋盍簪。</t>
  </si>
  <si>
    <t>六五，贞疾，恒不死。</t>
  </si>
  <si>
    <t>上六，冥豫，成有渝，无咎。</t>
  </si>
  <si>
    <t>随，元亨，利贞，无咎。</t>
  </si>
  <si>
    <t>初九，官有渝，贞吉，出门交有功。</t>
  </si>
  <si>
    <t>六二，系小子，失丈夫。</t>
  </si>
  <si>
    <t>六三，系丈夫，失小子，随有求，得，利居贞。</t>
  </si>
  <si>
    <t>九四，随有获，贞凶。有孚在道，以明，何咎。</t>
  </si>
  <si>
    <t>九五，孚于嘉，吉。</t>
  </si>
  <si>
    <t>上六，拘系之，乃从维之。王用亨于西山。</t>
  </si>
  <si>
    <t>蛊，元亨，利涉大川。先甲三日，后甲三日。</t>
  </si>
  <si>
    <t>初六，干父之蛊，有子，考无咎，厉终吉。</t>
  </si>
  <si>
    <t>九二，干母之蛊，不可贞。</t>
  </si>
  <si>
    <t>九三，干父之蛊，小有悔，无大咎。</t>
  </si>
  <si>
    <t>六四，裕父之蛊，往见吝。</t>
  </si>
  <si>
    <t>六五，干父之蛊，用誉。</t>
  </si>
  <si>
    <t>上九，不事王侯，高尚其事。</t>
  </si>
  <si>
    <t>临，元亨利贞，至于八月有凶。</t>
  </si>
  <si>
    <t>初九，咸临，贞吉。</t>
  </si>
  <si>
    <t>九二，咸临，吉无不利。</t>
  </si>
  <si>
    <t>六三，甘临，无攸利。既忧之，无咎。</t>
  </si>
  <si>
    <t>六四，至临，无咎。</t>
  </si>
  <si>
    <t>六五，知临，大君之宜，吉。</t>
  </si>
  <si>
    <t>上六，敦临，吉无咎。</t>
  </si>
  <si>
    <t>观，盥而不荐，有孚颙若。</t>
  </si>
  <si>
    <t>初六，童观，小人无咎，君子吝。</t>
  </si>
  <si>
    <t>六二，窥观，利女贞。</t>
  </si>
  <si>
    <t>六三，观我生，进退。</t>
  </si>
  <si>
    <t>六四，观国之光，利用宾于王。</t>
  </si>
  <si>
    <t>九五，观我生，君子无咎。</t>
  </si>
  <si>
    <t>上九，观其生，君子无咎。</t>
  </si>
  <si>
    <t>噬嗑，亨，利用狱。</t>
  </si>
  <si>
    <t>初九，屦（ｊù）校灭趾，无咎。</t>
  </si>
  <si>
    <t>六二，噬肤灭鼻，无咎。</t>
  </si>
  <si>
    <t>六三，噬腊肉，遇毒，小吝，无咎。</t>
  </si>
  <si>
    <t>九四，噬乾胏，得金矢，利艰贞，吉。</t>
  </si>
  <si>
    <t>六五，噬乾肉，得黄金，贞厉，无咎。</t>
  </si>
  <si>
    <t>上九，何校灭耳，凶。</t>
  </si>
  <si>
    <t>贲，亨，小利有攸往。</t>
  </si>
  <si>
    <t>初九，贲其趾，舍车而徒。</t>
  </si>
  <si>
    <t>六二，贲其须。</t>
  </si>
  <si>
    <t>九三，贲如濡如，永贞吉。</t>
  </si>
  <si>
    <t>六四，贲如皤（ｐó）如。白马翰如，匪寇婚媾。</t>
  </si>
  <si>
    <t>六五，贲于丘园，束帛戋戋，吝，终吉。</t>
  </si>
  <si>
    <t>上九，白贲，无咎。</t>
  </si>
  <si>
    <t>剥，不利有攸往。</t>
  </si>
  <si>
    <t>初六，剥床以足，蔑，贞凶。</t>
  </si>
  <si>
    <t>六二，剥床以辨，蔑，贞凶。</t>
  </si>
  <si>
    <t>六三，剥之，无咎。</t>
  </si>
  <si>
    <t>六四，剥床以肤，凶。</t>
  </si>
  <si>
    <t>六五，贯鱼以宫人宠，无不利。</t>
  </si>
  <si>
    <t>上九，硕果不食，君子得舆，小人剥庐。</t>
  </si>
  <si>
    <t>复，亨。出入无疾，朋来无咎。反复其道，七日来复，利有攸往。</t>
  </si>
  <si>
    <t>初九，不远复，无祗悔，元吉。</t>
  </si>
  <si>
    <t>六二，休复，吉。</t>
  </si>
  <si>
    <t>六三，频复，厉无咎。</t>
  </si>
  <si>
    <t>六四，中行独复。</t>
  </si>
  <si>
    <t>六五，敦复，无悔。</t>
  </si>
  <si>
    <t>上六，迷复，凶，有灾眚。用行师，终有大败，以其国君凶，至于十年不克征。</t>
  </si>
  <si>
    <t>无妄，元亨利贞，其匪正有眚，不利有攸往。</t>
  </si>
  <si>
    <t>初九，无妄，往吉。</t>
  </si>
  <si>
    <t>六二，不耕获，不葘畬，则利有攸往。</t>
  </si>
  <si>
    <t>六三，无妄之灾，或系之牛，行人得之，邑人之灾。</t>
  </si>
  <si>
    <t>九四，可贞无咎。</t>
  </si>
  <si>
    <t>九五，无妄之疾，勿药有喜。</t>
  </si>
  <si>
    <t>上九，无妄，行有眚，无攸利。</t>
  </si>
  <si>
    <t>大畜，利贞，不家食吉，利涉大川。</t>
  </si>
  <si>
    <t>初九，有厉，利己。</t>
  </si>
  <si>
    <t>九二，舆说。</t>
  </si>
  <si>
    <t>九三，良马逐，利艰贞，日闲舆卫，利有攸往。</t>
  </si>
  <si>
    <t>六四，童牛之牿，元吉。</t>
  </si>
  <si>
    <t>六五，豮（ｆéｎ）豕（ｓｈǐ）之牙，吉。</t>
  </si>
  <si>
    <t>上九，何天之衢，亨。</t>
  </si>
  <si>
    <t>颐，贞吉，观颐，自求口实。</t>
  </si>
  <si>
    <t>初九，舍尔灵龟，观我朵颐，凶。</t>
  </si>
  <si>
    <t>六二，颠颐，拂经，于丘颐，征凶。</t>
  </si>
  <si>
    <t>六三，拂颐，贞凶。十年勿用，无攸利。</t>
  </si>
  <si>
    <t>六四，颠颐，吉，虎视眈眈，其欲逐逐，无咎。</t>
  </si>
  <si>
    <t>六五，拂经，居贞吉，不可涉大川。</t>
  </si>
  <si>
    <t>上九，由颐厉吉，利涉大川。</t>
  </si>
  <si>
    <t>大过，栋桡，利有攸往，亨。</t>
  </si>
  <si>
    <t>初六，藉用白茅，无咎。</t>
  </si>
  <si>
    <t>九二，枯杨生稊，老夫得其女妻，无不利。</t>
  </si>
  <si>
    <t>九三，栋桡，凶。</t>
  </si>
  <si>
    <t>九四，栋隆，吉，有它，吝。</t>
  </si>
  <si>
    <t>九五，枯杨生华，老妇得其士夫，无咎无誉。</t>
  </si>
  <si>
    <t>上六，过涉灭顶，凶，无咎。</t>
  </si>
  <si>
    <t>习坎，有孚，维心，亨，行有尚。</t>
  </si>
  <si>
    <t>初六，习坎，入于坎窞，凶。</t>
  </si>
  <si>
    <t>九二，坎有险，求小得。</t>
  </si>
  <si>
    <t>六三，来之坎坎，险且枕，入于坎窞，勿用。</t>
  </si>
  <si>
    <t>六四，樽酒，簋贰，用缶，纳约自牗，终无咎。</t>
  </si>
  <si>
    <t>九五，坎不盈，祗既平，无咎。</t>
  </si>
  <si>
    <t>上六，系用徽，置于丛棘，三岁不得，凶。</t>
  </si>
  <si>
    <t>离，利贞，亨，畜牝牛，吉。</t>
  </si>
  <si>
    <t>初九，履错然，敬之，无咎。</t>
  </si>
  <si>
    <t>六二，黄离，元吉。</t>
  </si>
  <si>
    <t>九三，日昃之离，不鼓缶而歌，则大耋之嗟，凶。</t>
  </si>
  <si>
    <t>九四，突如其来如，焚如，死如，弃如。</t>
  </si>
  <si>
    <t>六五，出涕沱若，戚嗟若，吉。</t>
  </si>
  <si>
    <t>上九，王用出征，有嘉，折首，获匪其丑，无咎。</t>
  </si>
  <si>
    <t>咸，亨，利贞，取女吉。</t>
  </si>
  <si>
    <t>初六，咸其拇。</t>
  </si>
  <si>
    <t>六二，咸其腓（ｆéｉ），凶，居吉。</t>
  </si>
  <si>
    <t>九三，咸其股，执其随，往吝。</t>
  </si>
  <si>
    <t>九五，咸其脢（ｍéｉ），无悔。</t>
  </si>
  <si>
    <t>上六，咸其辅颊舌。</t>
  </si>
  <si>
    <t>姤，女壮，勿用取女。</t>
  </si>
  <si>
    <t>九二，包有鱼，无咎，不利宾。</t>
  </si>
  <si>
    <t>九三，臀无肤，其行次且，厉，无大咎。</t>
  </si>
  <si>
    <t>九四，包无鱼，起凶。</t>
  </si>
  <si>
    <t>九五，以杞包瓜，含章，有陨自天。</t>
  </si>
  <si>
    <t>上九，姤其角，吝，无咎。</t>
  </si>
  <si>
    <t>遁，亨，小利贞。</t>
  </si>
  <si>
    <t>初六，遁尾，厉，勿用有攸往。</t>
  </si>
  <si>
    <t>六二，执之用黄牛之革，莫之胜说。</t>
  </si>
  <si>
    <t>九三，系遁，有疾厉，畜臣妾吉。</t>
  </si>
  <si>
    <t>九四，好□君子吉，小人否。</t>
  </si>
  <si>
    <t>九五，嘉遁，贞吉。</t>
  </si>
  <si>
    <t>上九，肥遁，无不利。</t>
  </si>
  <si>
    <t>夬，扬于王庭，孚号，有厉，告自邑，不利即戎，利有攸往。</t>
  </si>
  <si>
    <t>初九，壮于前趾，往不胜为吝。</t>
  </si>
  <si>
    <t>九二，惕号，莫夜有戎，勿恤。</t>
  </si>
  <si>
    <t>九三，壮于，有凶。君子夬夬，独行遇雨，若濡有愠，无咎。</t>
  </si>
  <si>
    <t>九四，臀无肤，其行次且。牵羊悔亡，闻言不信。</t>
  </si>
  <si>
    <t>九五，苋陆夬夬，中行无咎。</t>
  </si>
  <si>
    <t>上六，无号，终有凶。</t>
  </si>
  <si>
    <t>兑，亨，利贞。</t>
  </si>
  <si>
    <t>初九，和兑，吉。</t>
  </si>
  <si>
    <t>九二，孚兑，吉，悔亡。</t>
  </si>
  <si>
    <t>六三，来兑，凶。</t>
  </si>
  <si>
    <t>九四，商兑，未宁，介疾有喜。</t>
  </si>
  <si>
    <t>九五，孚于剥，有厉。</t>
  </si>
  <si>
    <t>上六，引兑。</t>
  </si>
  <si>
    <t>革，己日乃孚，元亨利贞，悔亡。</t>
  </si>
  <si>
    <t>初九，巩用黄牛之革。</t>
  </si>
  <si>
    <t>六二，己日乃革之，征吉，无咎。</t>
  </si>
  <si>
    <t>九三，征凶，贞厉，革言三就，有孚。</t>
  </si>
  <si>
    <t>九四，悔亡，有孚改命，吉。</t>
  </si>
  <si>
    <t>九五，大人虎变，未占有孚。</t>
  </si>
  <si>
    <t>上六，君子豹变，小人革面，征凶，居贞吉。</t>
  </si>
  <si>
    <t>困，亨，贞，大人吉，无咎，有言不信。</t>
  </si>
  <si>
    <t>初六，臀困于株木，入于幽谷，三岁不见。</t>
  </si>
  <si>
    <t>九二，困于酒食，朱绂方来，利用亨祀，征凶，无咎。</t>
  </si>
  <si>
    <t>六三，困于石，据于蒺藜，入于其宫，不见其妻，凶。</t>
  </si>
  <si>
    <t>九四，来徐徐，困于金车，吝，有终。</t>
  </si>
  <si>
    <t>九五，劓刖，困于赤绂，乃徐有说，利用祭祀。</t>
  </si>
  <si>
    <t>上六，困于葛藟，于臲卼，曰动悔。有悔，征吉。</t>
  </si>
  <si>
    <t>萃，亨。王假有庙，利见大人，亨，利贞。用大牲吉，利有攸往。</t>
  </si>
  <si>
    <t>初六，有孚不终，乃乱乃萃，若号一握为笑，勿恤，往无咎。</t>
  </si>
  <si>
    <t>六二，引吉，无咎，孚乃利用禴。</t>
  </si>
  <si>
    <t>六三，萃如，嗟如，无攸利，往无咎，小吝。</t>
  </si>
  <si>
    <t>九四，大吉，无咎。</t>
  </si>
  <si>
    <t>九五，萃有位，无咎。匪孚，元永贞，悔亡。</t>
  </si>
  <si>
    <t>上六，赍咨涕洟，无咎。</t>
  </si>
  <si>
    <t>睽，小事吉。</t>
  </si>
  <si>
    <t>初九，悔亡，丧马勿逐，自复；见恶人无咎。</t>
  </si>
  <si>
    <t>九二，遇主于巷，无咎。</t>
  </si>
  <si>
    <t>六三，见舆曳，其牛掣，其人天且劓，无初有终。</t>
  </si>
  <si>
    <t>九四，睽孤，遇元夫，交孚，厉无咎。</t>
  </si>
  <si>
    <t>六五，悔亡，厥宗噬肤，往何咎。</t>
  </si>
  <si>
    <t>上九，睽孤，见豕负涂，载鬼一车，先张之弧，后说之弧，匪寇婚媾，往遇雨则吉。</t>
  </si>
  <si>
    <t>鼎，元吉，亨。</t>
  </si>
  <si>
    <t>初六，鼎颠趾，利出否，得妾以其子，无咎。</t>
  </si>
  <si>
    <t>九二，鼎有实，我仇有疾，不我能即，吉。</t>
  </si>
  <si>
    <t>九三，鼎耳革，其行塞，雉膏不食，方雨亏悔，终吉。</t>
  </si>
  <si>
    <t>九四，鼎折足，覆公□，其形渥，凶。</t>
  </si>
  <si>
    <t>六五，鼎黄耳金铉，利贞。</t>
  </si>
  <si>
    <t>上九，鼎玉铉，大吉，无不利。</t>
  </si>
  <si>
    <t>未济，亨，小狐汔济，濡其尾，无攸利。</t>
  </si>
  <si>
    <t>初六，濡其尾，吝。</t>
  </si>
  <si>
    <t>九二，曳其轮，贞吉。</t>
  </si>
  <si>
    <t>六三，未济，征凶，利涉大川。</t>
  </si>
  <si>
    <t>九四，贞吉，悔亡，震用伐鬼方，三年有赏于大国。</t>
  </si>
  <si>
    <t>六五，贞吉，无悔，君子之光，有孚，吉。</t>
  </si>
  <si>
    <t>上九，有孚于饮酒，无咎，濡其首，有孚失是。</t>
  </si>
  <si>
    <t>旅，小亨，旅贞吉。</t>
  </si>
  <si>
    <t>初六，旅琐琐，斯其所取灾。</t>
  </si>
  <si>
    <t>六二，旅即次，怀其资，得童仆贞。</t>
  </si>
  <si>
    <t>九三，旅焚其次，丧其童仆，贞厉。</t>
  </si>
  <si>
    <t>九四，旅于处，得其资斧，我心不快。</t>
  </si>
  <si>
    <t>六五，射雉一矢亡，终以誉命。</t>
  </si>
  <si>
    <t>上九，鸟焚其巢，旅人先笑后号啕。丧牛于易，凶。</t>
  </si>
  <si>
    <t>晋，康侯用锡马蕃庶，昼日三接。</t>
  </si>
  <si>
    <t>初六，晋如，摧如，贞吉。罔孚，裕无咎。</t>
  </si>
  <si>
    <t>六二，晋如，愁如，贞吉。受兹介福，于其王母。</t>
  </si>
  <si>
    <t>六三，众允，悔亡。</t>
  </si>
  <si>
    <t>九四，晋如硕鼠，贞厉。</t>
  </si>
  <si>
    <t>六五，悔亡，失得勿恤，往吉无不利。</t>
  </si>
  <si>
    <t>上九，晋其角，维用伐邑，厉吉无咎，贞吝。</t>
  </si>
  <si>
    <t>大壮，利贞。</t>
  </si>
  <si>
    <t>初九，壮于趾，征凶，有孚。</t>
  </si>
  <si>
    <t>九二，贞吉。</t>
  </si>
  <si>
    <t>九三，小人用壮，君子用罔，贞厉。羝羊触藩，羸其角。</t>
  </si>
  <si>
    <t>九四，贞吉悔亡，藩决不羸，壮于大舆之輹。</t>
  </si>
  <si>
    <t>六五，丧羊于易，无悔。</t>
  </si>
  <si>
    <t>上六，羝羊触藩，不能退，不能遂，无攸利，艰则吉。</t>
  </si>
  <si>
    <t>归妹，征凶，无攸利。</t>
  </si>
  <si>
    <t>初九，归妹以娣，跛能履，征吉。</t>
  </si>
  <si>
    <t>九二，眇能视，利幽人之贞。</t>
  </si>
  <si>
    <t>六三，归妹以须，反归以娣。</t>
  </si>
  <si>
    <t>九四，归妹愆期，迟归有时。</t>
  </si>
  <si>
    <t>六五，帝乙归妹，其君之袂，不如其娣之袂良，月几望，吉。</t>
  </si>
  <si>
    <t>上六，女承筐无实，士刲羊无血，无攸利。</t>
  </si>
  <si>
    <t>丰，亨，王假之，勿忧，宜日中。</t>
  </si>
  <si>
    <t>初九，遇其配主，虽旬无咎，往有尚。</t>
  </si>
  <si>
    <t>六二，丰其蔀，日中见斗，往得疑疾，有孚发若，吉。</t>
  </si>
  <si>
    <t>九三，丰其沛，日中见昧，折其右肱，无咎。</t>
  </si>
  <si>
    <t>九四，丰其蔀，日中见斗，遇其夷主，吉。</t>
  </si>
  <si>
    <t>六五，来章，有庆誉，吉。</t>
  </si>
  <si>
    <t>上六，丰其屋，蔀其家，窥其户，阒其无人，三岁不见，凶。</t>
  </si>
  <si>
    <t>震，亨。震来虩虩，笑言哑哑。震惊百里，不丧匕鬯。</t>
  </si>
  <si>
    <t>初九，震来虩虩，后笑言哑哑，吉。</t>
  </si>
  <si>
    <t>六二，震来厉，亿丧贝，跻于九陵，勿逐，七日得。</t>
  </si>
  <si>
    <t>六三，震苏苏，震行无眚。</t>
  </si>
  <si>
    <t>九四，震遂泥。</t>
  </si>
  <si>
    <t>六五，震往来厉，亿无丧，有事。</t>
  </si>
  <si>
    <t>上六，震索索，视矍矍，征凶。震不于其躬，于其邻，无咎。婚媾有言。</t>
  </si>
  <si>
    <t>恒，亨，无咎，利贞，利有攸往。</t>
  </si>
  <si>
    <t>初六，浚恒，贞凶，无攸利。</t>
  </si>
  <si>
    <t>九二，悔亡。</t>
  </si>
  <si>
    <t>九三，不恒其德，或承之羞，贞吝。</t>
  </si>
  <si>
    <t>九四，田无禽。</t>
  </si>
  <si>
    <t>六五，恒其德，贞，妇人吉，夫子凶。</t>
  </si>
  <si>
    <t>上六，振恒，凶。</t>
  </si>
  <si>
    <t>解，利西南，无所往，其来复吉。有攸往，夙吉。</t>
  </si>
  <si>
    <t>初六，无咎。</t>
  </si>
  <si>
    <t>九二，田获三狐，得黄矢，贞吉。</t>
  </si>
  <si>
    <t>六三，负且乘，致寇至，贞吝。</t>
  </si>
  <si>
    <t>九四，解而拇，朋至斯孚。</t>
  </si>
  <si>
    <t>六五，君子维有解，吉；有孚于小人。</t>
  </si>
  <si>
    <t>上六，公用射隼，于高墉之上，获之，无不利。</t>
  </si>
  <si>
    <t>小过，亨，利贞，可小事，不可大事。飞鸟遗之音，不宜上宜下，大吉。</t>
  </si>
  <si>
    <t>初六，飞鸟以凶。</t>
  </si>
  <si>
    <t>六二，过其祖，遇其妣；不及其君，遇其臣；无咎。</t>
  </si>
  <si>
    <t>九三，弗过防之，从或戕之，凶。</t>
  </si>
  <si>
    <t>九四，无咎，弗过遇之。往厉必戒，勿用永贞。</t>
  </si>
  <si>
    <t>六五，密云不雨，自我西郊，公弋取彼在穴。</t>
  </si>
  <si>
    <t>上六，弗遇过之，飞鸟离之，凶，是谓灾眚。</t>
  </si>
  <si>
    <t>中孚，豚鱼吉，利涉大川，利贞。</t>
  </si>
  <si>
    <t>初九，虞吉，有他不燕。</t>
  </si>
  <si>
    <t>九二，鸣鹤在阴，其子和之，我有好爵，吾与尔靡之。</t>
  </si>
  <si>
    <t>六三，得敌，或鼓或罢，或泣或歌。</t>
  </si>
  <si>
    <t>六四，月几望，马匹亡，无咎。</t>
  </si>
  <si>
    <t>九五，有孚挛如，无咎。</t>
  </si>
  <si>
    <t>上九，翰音登于天，贞凶。</t>
  </si>
  <si>
    <t>家人，利女贞。</t>
  </si>
  <si>
    <t>初九，闲有家，悔亡。</t>
  </si>
  <si>
    <t>六二，无攸遂，在中馈，贞吉。</t>
  </si>
  <si>
    <t>九三，家人嗃嗃，悔厉吉；妇子嘻嘻，终吝。</t>
  </si>
  <si>
    <t>六四，富家，大吉。</t>
  </si>
  <si>
    <t>九五，王假有家，勿恤吉。</t>
  </si>
  <si>
    <t>上九，有孚威如，终吉。</t>
  </si>
  <si>
    <t>益，利有攸往，利涉大川。</t>
  </si>
  <si>
    <t>初九，利用为大作，元吉，无咎。</t>
  </si>
  <si>
    <t>六二，或益之，十朋之龟弗克违，永贞吉。王用享于帝，吉。</t>
  </si>
  <si>
    <t>六三，益之用凶事，无咎。有孚中行，告公用圭。</t>
  </si>
  <si>
    <t>六四，中行，告公从。利用为依迁国。</t>
  </si>
  <si>
    <t>九五，有孚惠心，勿问元吉。有孚惠我德。</t>
  </si>
  <si>
    <t>上九，莫益之，或击之，立心勿恒，凶。</t>
  </si>
  <si>
    <t>巽，小亨，利攸往，利见大人。</t>
  </si>
  <si>
    <t>初六，进退，利武人之贞。</t>
  </si>
  <si>
    <t>九二，巽在床下。用史巫纷若，吉无咎。</t>
  </si>
  <si>
    <t>九三，频巽，吝。</t>
  </si>
  <si>
    <t>六四，悔亡，田获三品。</t>
  </si>
  <si>
    <t>九五，贞吉悔亡，无不利。无初有终，先庚三日，后庚三日，吉。</t>
  </si>
  <si>
    <t>上九，巽在床下，丧其资斧，贞凶。</t>
  </si>
  <si>
    <t>涣，亨。王假有庙，利涉大川，利贞。</t>
  </si>
  <si>
    <t>初六，用拯马壮，吉。</t>
  </si>
  <si>
    <t>九二，涣奔其机，悔亡。</t>
  </si>
  <si>
    <t>六三，涣其躬，无悔。</t>
  </si>
  <si>
    <t>六四，涣其群，元吉。涣有丘，匪夷所思。</t>
  </si>
  <si>
    <t>九五，涣汗其大号，涣王居，无咎。</t>
  </si>
  <si>
    <t>上九，涣其血，去逖出，无咎。</t>
  </si>
  <si>
    <t>渐，女归吉，利贞。</t>
  </si>
  <si>
    <t>初六，鸿渐于干，小子厉，有言，无咎。</t>
  </si>
  <si>
    <t>六二，鸿渐于磐，饮食衍衍，吉。</t>
  </si>
  <si>
    <t>九三，鸿渐于陆，夫征不复，妇孕不育，凶；利御寇。</t>
  </si>
  <si>
    <t>六四，鸿渐于木，或得其桷，无咎。</t>
  </si>
  <si>
    <t>九五，鸿渐于陵，妇三岁不孕，终莫之胜，吉。</t>
  </si>
  <si>
    <t>上九，鸿渐于逵，其羽可用为仪，吉。</t>
  </si>
  <si>
    <t>节，亨。苦节不可贞。</t>
  </si>
  <si>
    <t>初九，不出户庭，无咎。</t>
  </si>
  <si>
    <t>九二，不出门庭，凶。</t>
  </si>
  <si>
    <t>六三，不节若，则嗟若，无咎。</t>
  </si>
  <si>
    <t>六四，安节，亨。</t>
  </si>
  <si>
    <t>九五，甘节，吉；往有尚。</t>
  </si>
  <si>
    <t>上六，苦节，贞凶，悔亡。</t>
  </si>
  <si>
    <t>既济，亨，小利贞，初吉终乱。</t>
  </si>
  <si>
    <t>初九，曳其轮，濡其尾，无咎。</t>
  </si>
  <si>
    <t>六二，妇丧其茀，勿逐，七日得。</t>
  </si>
  <si>
    <t>九三，高宗伐鬼方，三年克之，小人勿用。</t>
  </si>
  <si>
    <t>六四，繻有衣袽，终日戒。</t>
  </si>
  <si>
    <t>九五，东邻杀牛，不如西邻之禴祭，实受其福。</t>
  </si>
  <si>
    <t>上六，濡其首，厉。</t>
  </si>
  <si>
    <t>井，改邑不改井，无丧无得，往来井井。汔至，亦未繘井，羸其瓶，凶。</t>
  </si>
  <si>
    <t>九二，井谷射鲋，瓮敝漏。象曰，井谷射鲋，无与也。</t>
  </si>
  <si>
    <t>九三，井渫不食，为我民恻，可用汲，王明，并受其福。象曰，井渫不食，行恻也。求王明，受福也。</t>
  </si>
  <si>
    <t>六四，井甃，无咎。象曰，井甃无咎，修井也。</t>
  </si>
  <si>
    <t>九五，井冽，寒泉食。象曰，寒泉之食，中正也。</t>
  </si>
  <si>
    <t>上六，井收勿幕，有孚无吉。象曰，元吉在上，大成也。</t>
  </si>
  <si>
    <t>蹇，利西南，不利东北；利见大人，贞吉。</t>
  </si>
  <si>
    <t>初六，往蹇，来誉。</t>
  </si>
  <si>
    <t>六二，王臣蹇蹇，匪躬之故。</t>
  </si>
  <si>
    <t>九三，往蹇来反。</t>
  </si>
  <si>
    <t>六四，往蹇来连。</t>
  </si>
  <si>
    <t>九五，大蹇朋来。</t>
  </si>
  <si>
    <t>上六，往蹇来硕，吉；利见大人。</t>
  </si>
  <si>
    <t>损，有孚，元吉，无咎，可贞，利有攸往？曷之用，二簋可用享。</t>
  </si>
  <si>
    <t>初九，已事遄往，无咎，酌损之。</t>
  </si>
  <si>
    <t>九二，利贞，征凶，弗损益之。</t>
  </si>
  <si>
    <t>六三，三人行，则损一人；一人行，则得其友。</t>
  </si>
  <si>
    <t>六四，损其疾，使遄有喜，无咎。</t>
  </si>
  <si>
    <t>六五，或益之，十朋之龟弗克违，元吉。</t>
  </si>
  <si>
    <t>上九，弗损益之，无咎，贞吉，利有攸往，得臣无家。</t>
  </si>
  <si>
    <t>艮，艮其背，不获其身，行其庭，不见其人，无咎。</t>
  </si>
  <si>
    <t>初六，艮其趾，无咎，利永贞。</t>
  </si>
  <si>
    <t>六二，艮其腓，不拯其随，其心不快。</t>
  </si>
  <si>
    <t>九三，艮其限，列其夤，厉薰心。</t>
  </si>
  <si>
    <t>六四，艮其身，无咎。</t>
  </si>
  <si>
    <t>六五，艮其辅，言有序，悔亡。</t>
  </si>
  <si>
    <t>上九，敦艮，吉。</t>
  </si>
  <si>
    <t>明夷，利艰贞。</t>
  </si>
  <si>
    <t>初九，明夷于飞，垂其翼。君子于行，三日不食，有攸往，主人有言。</t>
  </si>
  <si>
    <t>六二，明夷，夷于左股，用拯马壮，吉。</t>
  </si>
  <si>
    <t>九三，明夷于南狩，得其大首，不可疾贞。</t>
  </si>
  <si>
    <t>六四，入于左腹，获明夷之心，出于门庭。</t>
  </si>
  <si>
    <t>六五，箕子之明夷，利贞。</t>
  </si>
  <si>
    <t>上六，不明晦，初登于天，后入于地。</t>
  </si>
  <si>
    <t>升，元亨，用见大人，勿恤，南征吉。</t>
  </si>
  <si>
    <t>初六，允升，大吉。</t>
  </si>
  <si>
    <t>九二，孚乃利用禴，无咎。</t>
  </si>
  <si>
    <t>九三，升虚邑。</t>
  </si>
  <si>
    <t>六四，王用亨于岐山，吉无咎。</t>
  </si>
  <si>
    <t>六五，贞吉，升阶。</t>
  </si>
  <si>
    <t>上六，冥升，利于不息之贞。</t>
  </si>
  <si>
    <r>
      <rPr>
        <sz val="16"/>
        <color theme="2" tint="-0.499984740745262"/>
        <rFont val="宋体"/>
        <family val="3"/>
        <charset val="134"/>
      </rPr>
      <t>←</t>
    </r>
    <r>
      <rPr>
        <sz val="16"/>
        <color theme="2" tint="-0.499984740745262"/>
        <rFont val="隶书"/>
        <family val="3"/>
        <charset val="134"/>
      </rPr>
      <t>我们爱八卦…</t>
    </r>
    <phoneticPr fontId="1" type="noConversion"/>
  </si>
  <si>
    <t>Designed by Cutee..</t>
    <phoneticPr fontId="1" type="noConversion"/>
  </si>
  <si>
    <t>九四，贞吉，悔亡。憧（ｃｈōｎɡ）憧往来，朋从尔思。</t>
    <phoneticPr fontId="1" type="noConversion"/>
  </si>
  <si>
    <t>初六，系于金柅，贞吉，有攸往，见凶，羸豕踟躅。</t>
  </si>
  <si>
    <t>初六，井泥不食，旧井无禽。象曰，井泥不食，下也。旧井无禽，时舍也。</t>
  </si>
</sst>
</file>

<file path=xl/styles.xml><?xml version="1.0" encoding="utf-8"?>
<styleSheet xmlns="http://schemas.openxmlformats.org/spreadsheetml/2006/main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20"/>
      <color theme="1"/>
      <name val="黑体"/>
      <family val="3"/>
      <charset val="134"/>
    </font>
    <font>
      <sz val="12"/>
      <color theme="1"/>
      <name val="宋体"/>
      <family val="2"/>
      <charset val="134"/>
      <scheme val="minor"/>
    </font>
    <font>
      <b/>
      <sz val="12"/>
      <color theme="1"/>
      <name val="幼圆"/>
      <family val="3"/>
      <charset val="134"/>
    </font>
    <font>
      <sz val="11"/>
      <color rgb="FF000000"/>
      <name val="宋体"/>
      <family val="3"/>
      <charset val="134"/>
    </font>
    <font>
      <b/>
      <sz val="13"/>
      <color theme="1"/>
      <name val="楷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6"/>
      <color theme="2" tint="-0.499984740745262"/>
      <name val="隶书"/>
      <family val="3"/>
      <charset val="134"/>
    </font>
    <font>
      <sz val="16"/>
      <color theme="2" tint="-0.499984740745262"/>
      <name val="宋体"/>
      <family val="3"/>
      <charset val="134"/>
    </font>
    <font>
      <b/>
      <i/>
      <sz val="11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9" fillId="0" borderId="0" xfId="0" applyFont="1" applyAlignment="1"/>
    <xf numFmtId="0" fontId="11" fillId="0" borderId="0" xfId="0" applyFont="1">
      <alignment vertical="center"/>
    </xf>
  </cellXfs>
  <cellStyles count="1">
    <cellStyle name="常规" xfId="0" builtinId="0"/>
  </cellStyles>
  <dxfs count="4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fgColor theme="1"/>
          <bgColor theme="1"/>
        </patternFill>
      </fill>
    </dxf>
    <dxf>
      <font>
        <color rgb="FFC00000"/>
      </font>
      <fill>
        <patternFill patternType="solid">
          <fgColor rgb="FFC00000"/>
          <bgColor rgb="FFC0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4"/>
  <sheetViews>
    <sheetView showGridLines="0" tabSelected="1" topLeftCell="A7" workbookViewId="0">
      <selection activeCell="I27" sqref="I27"/>
    </sheetView>
  </sheetViews>
  <sheetFormatPr defaultRowHeight="13.5" outlineLevelRow="1"/>
  <cols>
    <col min="1" max="4" width="4.625" customWidth="1"/>
    <col min="5" max="5" width="10.625" customWidth="1"/>
    <col min="6" max="6" width="6.625" customWidth="1"/>
    <col min="7" max="7" width="10.625" customWidth="1"/>
    <col min="8" max="8" width="4.625" customWidth="1"/>
  </cols>
  <sheetData>
    <row r="1" spans="1:9" hidden="1" outlineLevel="1">
      <c r="A1">
        <f ca="1">ROUND(RAND(),0)</f>
        <v>1</v>
      </c>
      <c r="B1">
        <f t="shared" ref="B1:C6" ca="1" si="0">ROUND(RAND(),0)</f>
        <v>0</v>
      </c>
      <c r="C1">
        <f t="shared" ca="1" si="0"/>
        <v>0</v>
      </c>
      <c r="D1">
        <f ca="1">SUM(A1:C1)+6</f>
        <v>7</v>
      </c>
      <c r="E1">
        <f ca="1">IF(ISODD(D1),9,6)</f>
        <v>9</v>
      </c>
    </row>
    <row r="2" spans="1:9" hidden="1" outlineLevel="1">
      <c r="A2">
        <f t="shared" ref="A2:A6" ca="1" si="1">ROUND(RAND(),0)</f>
        <v>0</v>
      </c>
      <c r="B2">
        <f t="shared" ca="1" si="0"/>
        <v>1</v>
      </c>
      <c r="C2">
        <f t="shared" ca="1" si="0"/>
        <v>0</v>
      </c>
      <c r="D2">
        <f t="shared" ref="D2:D6" ca="1" si="2">SUM(A2:C2)+6</f>
        <v>7</v>
      </c>
      <c r="E2">
        <f t="shared" ref="E2:E6" ca="1" si="3">IF(ISODD(D2),9,6)</f>
        <v>9</v>
      </c>
    </row>
    <row r="3" spans="1:9" hidden="1" outlineLevel="1">
      <c r="A3">
        <f t="shared" ca="1" si="1"/>
        <v>1</v>
      </c>
      <c r="B3">
        <f t="shared" ca="1" si="0"/>
        <v>1</v>
      </c>
      <c r="C3">
        <f t="shared" ca="1" si="0"/>
        <v>0</v>
      </c>
      <c r="D3">
        <f t="shared" ca="1" si="2"/>
        <v>8</v>
      </c>
      <c r="E3">
        <f t="shared" ca="1" si="3"/>
        <v>6</v>
      </c>
    </row>
    <row r="4" spans="1:9" hidden="1" outlineLevel="1">
      <c r="A4">
        <f t="shared" ca="1" si="1"/>
        <v>1</v>
      </c>
      <c r="B4">
        <f t="shared" ca="1" si="0"/>
        <v>0</v>
      </c>
      <c r="C4">
        <f t="shared" ca="1" si="0"/>
        <v>1</v>
      </c>
      <c r="D4">
        <f t="shared" ca="1" si="2"/>
        <v>8</v>
      </c>
      <c r="E4">
        <f t="shared" ca="1" si="3"/>
        <v>6</v>
      </c>
    </row>
    <row r="5" spans="1:9" hidden="1" outlineLevel="1">
      <c r="A5">
        <f t="shared" ca="1" si="1"/>
        <v>1</v>
      </c>
      <c r="B5">
        <f t="shared" ca="1" si="0"/>
        <v>0</v>
      </c>
      <c r="C5">
        <f t="shared" ca="1" si="0"/>
        <v>1</v>
      </c>
      <c r="D5">
        <f t="shared" ca="1" si="2"/>
        <v>8</v>
      </c>
      <c r="E5">
        <f t="shared" ca="1" si="3"/>
        <v>6</v>
      </c>
    </row>
    <row r="6" spans="1:9" hidden="1" outlineLevel="1">
      <c r="A6">
        <f t="shared" ca="1" si="1"/>
        <v>1</v>
      </c>
      <c r="B6">
        <f t="shared" ca="1" si="0"/>
        <v>0</v>
      </c>
      <c r="C6">
        <f t="shared" ca="1" si="0"/>
        <v>1</v>
      </c>
      <c r="D6">
        <f t="shared" ca="1" si="2"/>
        <v>8</v>
      </c>
      <c r="E6">
        <f t="shared" ca="1" si="3"/>
        <v>6</v>
      </c>
    </row>
    <row r="7" spans="1:9" ht="38.25" customHeight="1" collapsed="1">
      <c r="E7" s="12" t="s">
        <v>526</v>
      </c>
    </row>
    <row r="8" spans="1:9" ht="15" customHeight="1"/>
    <row r="9" spans="1:9" ht="25.5">
      <c r="F9" s="1" t="str">
        <f t="array" aca="1" ref="F9" ca="1">INDEX(Sheet2!F10:F73,MATCH(1,IF(Sheet2!C10:C73=A13,1,0)*IF(Sheet2!D10:D73=A19,1,0),0))</f>
        <v>观</v>
      </c>
      <c r="I9" s="6" t="str">
        <f t="array" aca="1" ref="I9" ca="1">INDEX(Sheet2!G10:G73,MATCH(1,IF(Sheet2!C10:C73=A13,1,0)*IF(Sheet2!D10:D73=A19,1,0),0))</f>
        <v>观，盥而不荐，有孚颙若。</v>
      </c>
    </row>
    <row r="11" spans="1:9" s="2" customFormat="1" ht="15">
      <c r="C11" s="3" t="s">
        <v>5</v>
      </c>
      <c r="D11" s="4" t="str">
        <f ca="1">IF(ISODD(E1),"九","六")</f>
        <v>九</v>
      </c>
      <c r="E11" s="2">
        <f ca="1">E1</f>
        <v>9</v>
      </c>
      <c r="F11" s="2">
        <f ca="1">E1</f>
        <v>9</v>
      </c>
      <c r="G11" s="2">
        <f ca="1">E1</f>
        <v>9</v>
      </c>
      <c r="I11" s="6" t="str">
        <f t="array" aca="1" ref="I11" ca="1">INDEX(Sheet2!M10:M73,MATCH(1,IF(Sheet2!C10:C73=A13,1,0)*IF(Sheet2!D10:D73=A19,1,0),0))</f>
        <v>上九，观其生，君子无咎。</v>
      </c>
    </row>
    <row r="12" spans="1:9" s="2" customFormat="1" ht="14.25">
      <c r="C12" s="3"/>
      <c r="D12" s="4"/>
    </row>
    <row r="13" spans="1:9" s="2" customFormat="1" ht="15">
      <c r="A13" s="3" t="str">
        <f t="array" aca="1" ref="A13" ca="1">INDEX(Sheet2!E1:E8,MATCH(1,IF(Sheet2!A1:A8=E1,1,0)*IF(Sheet2!B1:B8=E2,1,0)*IF(Sheet2!C1:C8=E3,1,0),0))</f>
        <v>巽</v>
      </c>
      <c r="B13" s="4" t="s">
        <v>5</v>
      </c>
      <c r="C13" s="3" t="str">
        <f ca="1">IF(ISODD(E2),"九","六")</f>
        <v>九</v>
      </c>
      <c r="D13" s="4" t="s">
        <v>4</v>
      </c>
      <c r="E13" s="2">
        <f ca="1">E2</f>
        <v>9</v>
      </c>
      <c r="F13" s="2">
        <f ca="1">E2</f>
        <v>9</v>
      </c>
      <c r="G13" s="2">
        <f ca="1">E2</f>
        <v>9</v>
      </c>
      <c r="I13" s="6" t="str">
        <f t="array" aca="1" ref="I13" ca="1">INDEX(Sheet2!L10:L73,MATCH(1,IF(Sheet2!C10:C73=A13,1,0)*IF(Sheet2!D10:D73=A19,1,0),0))</f>
        <v>九五，观我生，君子无咎。</v>
      </c>
    </row>
    <row r="14" spans="1:9" s="2" customFormat="1" ht="14.25">
      <c r="C14" s="3"/>
      <c r="D14" s="4"/>
    </row>
    <row r="15" spans="1:9" s="2" customFormat="1" ht="15">
      <c r="C15" s="3" t="str">
        <f ca="1">IF(ISODD(E3),"九","六")</f>
        <v>六</v>
      </c>
      <c r="D15" s="4" t="s">
        <v>3</v>
      </c>
      <c r="E15" s="2">
        <f ca="1">E3</f>
        <v>6</v>
      </c>
      <c r="F15" s="2">
        <f ca="1">E3</f>
        <v>6</v>
      </c>
      <c r="G15" s="2">
        <f ca="1">E3</f>
        <v>6</v>
      </c>
      <c r="I15" s="6" t="str">
        <f t="array" aca="1" ref="I15" ca="1">INDEX(Sheet2!K10:K73,MATCH(1,IF(Sheet2!C10:C73=A13,1,0)*IF(Sheet2!D10:D73=A19,1,0),0))</f>
        <v>六四，观国之光，利用宾于王。</v>
      </c>
    </row>
    <row r="16" spans="1:9" s="2" customFormat="1" ht="14.25">
      <c r="C16" s="3"/>
      <c r="D16" s="4"/>
    </row>
    <row r="17" spans="1:9" s="2" customFormat="1" ht="15">
      <c r="C17" s="3" t="str">
        <f ca="1">IF(ISODD(E4),"九","六")</f>
        <v>六</v>
      </c>
      <c r="D17" s="4" t="s">
        <v>2</v>
      </c>
      <c r="E17" s="2">
        <f ca="1">E4</f>
        <v>6</v>
      </c>
      <c r="F17" s="2">
        <f ca="1">E4</f>
        <v>6</v>
      </c>
      <c r="G17" s="2">
        <f ca="1">E4</f>
        <v>6</v>
      </c>
      <c r="I17" s="6" t="str">
        <f t="array" aca="1" ref="I17" ca="1">INDEX(Sheet2!J10:J73,MATCH(1,IF(Sheet2!C10:C73=A13,1,0)*IF(Sheet2!D10:D73=A19,1,0),0))</f>
        <v>六三，观我生，进退。</v>
      </c>
    </row>
    <row r="18" spans="1:9" s="2" customFormat="1" ht="14.25">
      <c r="C18" s="3"/>
      <c r="D18" s="4"/>
    </row>
    <row r="19" spans="1:9" s="2" customFormat="1" ht="15">
      <c r="A19" s="3" t="str">
        <f t="array" aca="1" ref="A19" ca="1">INDEX(Sheet2!E1:E8,MATCH(1,IF(Sheet2!A1:A8=E4,1,0)*IF(Sheet2!B1:B8=E5,1,0)*IF(Sheet2!C1:C8=E6,1,0),0))</f>
        <v>坤</v>
      </c>
      <c r="B19" s="4" t="s">
        <v>78</v>
      </c>
      <c r="C19" s="3" t="str">
        <f ca="1">IF(ISODD(E5),"九","六")</f>
        <v>六</v>
      </c>
      <c r="D19" s="4" t="s">
        <v>1</v>
      </c>
      <c r="E19" s="2">
        <f ca="1">E5</f>
        <v>6</v>
      </c>
      <c r="F19" s="2">
        <f ca="1">E5</f>
        <v>6</v>
      </c>
      <c r="G19" s="2">
        <f ca="1">E5</f>
        <v>6</v>
      </c>
      <c r="I19" s="6" t="str">
        <f t="array" aca="1" ref="I19" ca="1">INDEX(Sheet2!I10:I73,MATCH(1,IF(Sheet2!C10:C73=A13,1,0)*IF(Sheet2!D10:D73=A19,1,0),0))</f>
        <v>六二，窥观，利女贞。</v>
      </c>
    </row>
    <row r="20" spans="1:9" s="2" customFormat="1" ht="14.25">
      <c r="C20" s="3"/>
      <c r="D20" s="4"/>
    </row>
    <row r="21" spans="1:9" s="2" customFormat="1" ht="15">
      <c r="C21" s="3" t="s">
        <v>0</v>
      </c>
      <c r="D21" s="4" t="str">
        <f ca="1">IF(ISODD(E6),"九","六")</f>
        <v>六</v>
      </c>
      <c r="E21" s="2">
        <f ca="1">E6</f>
        <v>6</v>
      </c>
      <c r="F21" s="2">
        <f ca="1">E6</f>
        <v>6</v>
      </c>
      <c r="G21" s="2">
        <f ca="1">E6</f>
        <v>6</v>
      </c>
      <c r="I21" s="6" t="str">
        <f t="array" aca="1" ref="I21" ca="1">INDEX(Sheet2!H10:H73,MATCH(1,IF(Sheet2!C10:C73=A13,1,0)*IF(Sheet2!D10:D73=A19,1,0),0))</f>
        <v>初六，童观，小人无咎，君子吝。</v>
      </c>
    </row>
    <row r="23" spans="1:9" ht="15">
      <c r="I23" s="6">
        <f t="array" aca="1" ref="I23" ca="1">INDEX(Sheet2!N10:N73,MATCH(1,IF(Sheet2!C10:C73=A13,1,0)*IF(Sheet2!D10:D73=A19,1,0),0))</f>
        <v>0</v>
      </c>
    </row>
    <row r="24" spans="1:9" ht="14.25">
      <c r="E24" s="13" t="s">
        <v>527</v>
      </c>
    </row>
  </sheetData>
  <phoneticPr fontId="1" type="noConversion"/>
  <conditionalFormatting sqref="E11:G21">
    <cfRule type="cellIs" dxfId="3" priority="5" operator="equal">
      <formula>9</formula>
    </cfRule>
  </conditionalFormatting>
  <conditionalFormatting sqref="E11:E21 G11:G21">
    <cfRule type="cellIs" dxfId="2" priority="4" operator="equal">
      <formula>6</formula>
    </cfRule>
  </conditionalFormatting>
  <conditionalFormatting sqref="F11:F21">
    <cfRule type="cellIs" dxfId="1" priority="3" operator="equal">
      <formula>6</formula>
    </cfRule>
  </conditionalFormatting>
  <conditionalFormatting sqref="I23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73"/>
  <sheetViews>
    <sheetView workbookViewId="0">
      <selection activeCell="J62" sqref="J62"/>
    </sheetView>
  </sheetViews>
  <sheetFormatPr defaultRowHeight="13.5"/>
  <cols>
    <col min="1" max="16384" width="9" style="7"/>
  </cols>
  <sheetData>
    <row r="1" spans="1:17">
      <c r="A1" s="7">
        <v>9</v>
      </c>
      <c r="B1" s="7">
        <v>9</v>
      </c>
      <c r="C1" s="7">
        <v>9</v>
      </c>
      <c r="D1" s="7">
        <v>1</v>
      </c>
      <c r="E1" s="7" t="s">
        <v>6</v>
      </c>
      <c r="F1" s="7" t="s">
        <v>12</v>
      </c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>
      <c r="A2" s="7">
        <v>6</v>
      </c>
      <c r="B2" s="7">
        <v>9</v>
      </c>
      <c r="C2" s="7">
        <v>9</v>
      </c>
      <c r="D2" s="7">
        <v>2</v>
      </c>
      <c r="E2" s="7" t="s">
        <v>16</v>
      </c>
      <c r="F2" s="7" t="s">
        <v>21</v>
      </c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>
      <c r="A3" s="7">
        <v>9</v>
      </c>
      <c r="B3" s="7">
        <v>6</v>
      </c>
      <c r="C3" s="7">
        <v>9</v>
      </c>
      <c r="D3" s="7">
        <v>3</v>
      </c>
      <c r="E3" s="7" t="s">
        <v>14</v>
      </c>
      <c r="F3" s="7" t="s">
        <v>15</v>
      </c>
      <c r="H3" s="8"/>
      <c r="I3" s="8"/>
      <c r="J3" s="8"/>
      <c r="K3" s="8"/>
      <c r="L3" s="9"/>
      <c r="M3" s="9"/>
      <c r="N3" s="8"/>
      <c r="O3" s="8"/>
      <c r="P3" s="8"/>
      <c r="Q3" s="8"/>
    </row>
    <row r="4" spans="1:17">
      <c r="A4" s="7">
        <v>6</v>
      </c>
      <c r="B4" s="7">
        <v>6</v>
      </c>
      <c r="C4" s="7">
        <v>9</v>
      </c>
      <c r="D4" s="7">
        <v>4</v>
      </c>
      <c r="E4" s="7" t="s">
        <v>8</v>
      </c>
      <c r="F4" s="7" t="s">
        <v>11</v>
      </c>
      <c r="H4" s="8"/>
      <c r="I4" s="8"/>
      <c r="J4" s="8"/>
      <c r="K4" s="8"/>
      <c r="L4" s="9"/>
      <c r="M4" s="8"/>
      <c r="N4" s="8"/>
      <c r="O4" s="8"/>
      <c r="P4" s="8"/>
      <c r="Q4" s="8"/>
    </row>
    <row r="5" spans="1:17">
      <c r="A5" s="7">
        <v>9</v>
      </c>
      <c r="B5" s="7">
        <v>9</v>
      </c>
      <c r="C5" s="7">
        <v>6</v>
      </c>
      <c r="D5" s="7">
        <v>5</v>
      </c>
      <c r="E5" s="7" t="s">
        <v>18</v>
      </c>
      <c r="F5" s="7" t="s">
        <v>19</v>
      </c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>
      <c r="A6" s="7">
        <v>6</v>
      </c>
      <c r="B6" s="7">
        <v>9</v>
      </c>
      <c r="C6" s="7">
        <v>6</v>
      </c>
      <c r="D6" s="7">
        <v>6</v>
      </c>
      <c r="E6" s="7" t="s">
        <v>9</v>
      </c>
      <c r="F6" s="7" t="s">
        <v>10</v>
      </c>
      <c r="H6" s="8"/>
      <c r="I6" s="8"/>
      <c r="J6" s="8"/>
      <c r="K6" s="8"/>
      <c r="L6" s="8"/>
      <c r="M6" s="8"/>
      <c r="N6" s="8"/>
      <c r="O6" s="8"/>
      <c r="P6" s="8"/>
      <c r="Q6" s="8"/>
    </row>
    <row r="7" spans="1:17">
      <c r="A7" s="7">
        <v>9</v>
      </c>
      <c r="B7" s="7">
        <v>6</v>
      </c>
      <c r="C7" s="7">
        <v>6</v>
      </c>
      <c r="D7" s="7">
        <v>7</v>
      </c>
      <c r="E7" s="7" t="s">
        <v>17</v>
      </c>
      <c r="F7" s="7" t="s">
        <v>20</v>
      </c>
      <c r="H7" s="8"/>
      <c r="I7" s="8"/>
      <c r="J7" s="8"/>
      <c r="K7" s="8"/>
      <c r="L7" s="8"/>
      <c r="M7" s="8"/>
      <c r="N7" s="8"/>
      <c r="O7" s="8"/>
      <c r="P7" s="8"/>
      <c r="Q7" s="8"/>
    </row>
    <row r="8" spans="1:17">
      <c r="A8" s="7">
        <v>6</v>
      </c>
      <c r="B8" s="7">
        <v>6</v>
      </c>
      <c r="C8" s="7">
        <v>6</v>
      </c>
      <c r="D8" s="7">
        <v>8</v>
      </c>
      <c r="E8" s="7" t="s">
        <v>7</v>
      </c>
      <c r="F8" s="7" t="s">
        <v>13</v>
      </c>
      <c r="H8" s="8"/>
      <c r="I8" s="8"/>
      <c r="J8" s="8"/>
      <c r="K8" s="8"/>
      <c r="L8" s="8"/>
      <c r="M8" s="8"/>
      <c r="N8" s="8"/>
      <c r="O8" s="8"/>
      <c r="P8" s="8"/>
      <c r="Q8" s="8"/>
    </row>
    <row r="9" spans="1:17">
      <c r="I9" s="8"/>
    </row>
    <row r="10" spans="1:17">
      <c r="A10" s="7">
        <v>1</v>
      </c>
      <c r="B10" s="7">
        <v>1</v>
      </c>
      <c r="C10" s="8" t="s">
        <v>6</v>
      </c>
      <c r="D10" s="8" t="s">
        <v>6</v>
      </c>
      <c r="E10" s="8">
        <v>1</v>
      </c>
      <c r="F10" s="7" t="s">
        <v>6</v>
      </c>
      <c r="G10" s="10" t="s">
        <v>79</v>
      </c>
      <c r="H10" s="10" t="s">
        <v>80</v>
      </c>
      <c r="I10" s="10" t="s">
        <v>81</v>
      </c>
      <c r="J10" s="10" t="s">
        <v>82</v>
      </c>
      <c r="K10" s="10" t="s">
        <v>83</v>
      </c>
      <c r="L10" s="10" t="s">
        <v>84</v>
      </c>
      <c r="M10" s="10" t="s">
        <v>85</v>
      </c>
      <c r="N10" s="10" t="s">
        <v>86</v>
      </c>
    </row>
    <row r="11" spans="1:17">
      <c r="A11" s="7">
        <v>1</v>
      </c>
      <c r="B11" s="7">
        <v>2</v>
      </c>
      <c r="C11" s="8" t="s">
        <v>6</v>
      </c>
      <c r="D11" s="8" t="s">
        <v>16</v>
      </c>
      <c r="E11" s="8">
        <v>10</v>
      </c>
      <c r="F11" s="7" t="s">
        <v>68</v>
      </c>
      <c r="G11" s="10" t="s">
        <v>144</v>
      </c>
      <c r="H11" s="10" t="s">
        <v>145</v>
      </c>
      <c r="I11" s="10" t="s">
        <v>146</v>
      </c>
      <c r="J11" s="10" t="s">
        <v>147</v>
      </c>
      <c r="K11" s="10" t="s">
        <v>148</v>
      </c>
      <c r="L11" s="10" t="s">
        <v>149</v>
      </c>
      <c r="M11" s="10" t="s">
        <v>150</v>
      </c>
    </row>
    <row r="12" spans="1:17">
      <c r="A12" s="7">
        <v>1</v>
      </c>
      <c r="B12" s="7">
        <v>3</v>
      </c>
      <c r="C12" s="8" t="s">
        <v>6</v>
      </c>
      <c r="D12" s="8" t="s">
        <v>14</v>
      </c>
      <c r="E12" s="8">
        <v>13</v>
      </c>
      <c r="F12" s="7" t="s">
        <v>42</v>
      </c>
      <c r="G12" s="10" t="s">
        <v>165</v>
      </c>
      <c r="H12" s="10" t="s">
        <v>166</v>
      </c>
      <c r="I12" s="10" t="s">
        <v>167</v>
      </c>
      <c r="J12" s="10" t="s">
        <v>168</v>
      </c>
      <c r="K12" s="10" t="s">
        <v>169</v>
      </c>
      <c r="L12" s="10" t="s">
        <v>170</v>
      </c>
      <c r="M12" s="10" t="s">
        <v>171</v>
      </c>
    </row>
    <row r="13" spans="1:17">
      <c r="A13" s="7">
        <v>1</v>
      </c>
      <c r="B13" s="7">
        <v>4</v>
      </c>
      <c r="C13" s="8" t="s">
        <v>6</v>
      </c>
      <c r="D13" s="8" t="s">
        <v>8</v>
      </c>
      <c r="E13" s="9">
        <v>25</v>
      </c>
      <c r="F13" s="7" t="s">
        <v>53</v>
      </c>
      <c r="G13" s="10" t="s">
        <v>249</v>
      </c>
      <c r="H13" s="10" t="s">
        <v>250</v>
      </c>
      <c r="I13" s="10" t="s">
        <v>251</v>
      </c>
      <c r="J13" s="10" t="s">
        <v>252</v>
      </c>
      <c r="K13" s="10" t="s">
        <v>253</v>
      </c>
      <c r="L13" s="10" t="s">
        <v>254</v>
      </c>
      <c r="M13" s="10" t="s">
        <v>255</v>
      </c>
    </row>
    <row r="14" spans="1:17">
      <c r="A14" s="7">
        <v>1</v>
      </c>
      <c r="B14" s="7">
        <v>5</v>
      </c>
      <c r="C14" s="8" t="s">
        <v>6</v>
      </c>
      <c r="D14" s="8" t="s">
        <v>18</v>
      </c>
      <c r="E14" s="9">
        <v>44</v>
      </c>
      <c r="F14" s="7" t="s">
        <v>22</v>
      </c>
      <c r="G14" s="5" t="s">
        <v>297</v>
      </c>
      <c r="H14" s="5" t="s">
        <v>529</v>
      </c>
      <c r="I14" s="5" t="s">
        <v>298</v>
      </c>
      <c r="J14" s="5" t="s">
        <v>299</v>
      </c>
      <c r="K14" s="5" t="s">
        <v>300</v>
      </c>
      <c r="L14" s="5" t="s">
        <v>301</v>
      </c>
      <c r="M14" s="5" t="s">
        <v>302</v>
      </c>
    </row>
    <row r="15" spans="1:17">
      <c r="A15" s="7">
        <v>1</v>
      </c>
      <c r="B15" s="7">
        <v>6</v>
      </c>
      <c r="C15" s="8" t="s">
        <v>6</v>
      </c>
      <c r="D15" s="8" t="s">
        <v>9</v>
      </c>
      <c r="E15" s="8">
        <v>6</v>
      </c>
      <c r="F15" s="7" t="s">
        <v>41</v>
      </c>
      <c r="G15" s="10" t="s">
        <v>116</v>
      </c>
      <c r="H15" s="10" t="s">
        <v>117</v>
      </c>
      <c r="I15" s="10" t="s">
        <v>118</v>
      </c>
      <c r="J15" s="10" t="s">
        <v>119</v>
      </c>
      <c r="K15" s="10" t="s">
        <v>120</v>
      </c>
      <c r="L15" s="10" t="s">
        <v>121</v>
      </c>
      <c r="M15" s="10" t="s">
        <v>122</v>
      </c>
    </row>
    <row r="16" spans="1:17">
      <c r="A16" s="7">
        <v>1</v>
      </c>
      <c r="B16" s="7">
        <v>7</v>
      </c>
      <c r="C16" s="8" t="s">
        <v>6</v>
      </c>
      <c r="D16" s="8" t="s">
        <v>17</v>
      </c>
      <c r="E16" s="9">
        <v>33</v>
      </c>
      <c r="F16" s="7" t="s">
        <v>23</v>
      </c>
      <c r="G16" s="7" t="s">
        <v>303</v>
      </c>
      <c r="H16" s="7" t="s">
        <v>304</v>
      </c>
      <c r="I16" s="7" t="s">
        <v>305</v>
      </c>
      <c r="J16" s="7" t="s">
        <v>306</v>
      </c>
      <c r="K16" s="7" t="s">
        <v>307</v>
      </c>
      <c r="L16" s="7" t="s">
        <v>308</v>
      </c>
      <c r="M16" s="7" t="s">
        <v>309</v>
      </c>
    </row>
    <row r="17" spans="1:13">
      <c r="A17" s="7">
        <v>1</v>
      </c>
      <c r="B17" s="7">
        <v>8</v>
      </c>
      <c r="C17" s="8" t="s">
        <v>6</v>
      </c>
      <c r="D17" s="8" t="s">
        <v>7</v>
      </c>
      <c r="E17" s="8">
        <v>12</v>
      </c>
      <c r="F17" s="7" t="s">
        <v>24</v>
      </c>
      <c r="G17" s="10" t="s">
        <v>158</v>
      </c>
      <c r="H17" s="10" t="s">
        <v>159</v>
      </c>
      <c r="I17" s="10" t="s">
        <v>160</v>
      </c>
      <c r="J17" s="10" t="s">
        <v>161</v>
      </c>
      <c r="K17" s="10" t="s">
        <v>162</v>
      </c>
      <c r="L17" s="10" t="s">
        <v>163</v>
      </c>
      <c r="M17" s="10" t="s">
        <v>164</v>
      </c>
    </row>
    <row r="18" spans="1:13">
      <c r="A18" s="7">
        <v>2</v>
      </c>
      <c r="B18" s="7">
        <v>1</v>
      </c>
      <c r="C18" s="8" t="s">
        <v>16</v>
      </c>
      <c r="D18" s="8" t="s">
        <v>6</v>
      </c>
      <c r="E18" s="9">
        <v>43</v>
      </c>
      <c r="F18" s="7" t="s">
        <v>75</v>
      </c>
      <c r="G18" s="5" t="s">
        <v>310</v>
      </c>
      <c r="H18" s="5" t="s">
        <v>311</v>
      </c>
      <c r="I18" s="5" t="s">
        <v>312</v>
      </c>
      <c r="J18" s="5" t="s">
        <v>313</v>
      </c>
      <c r="K18" s="5" t="s">
        <v>314</v>
      </c>
      <c r="L18" s="5" t="s">
        <v>315</v>
      </c>
      <c r="M18" s="5" t="s">
        <v>316</v>
      </c>
    </row>
    <row r="19" spans="1:13">
      <c r="A19" s="7">
        <v>2</v>
      </c>
      <c r="B19" s="7">
        <v>2</v>
      </c>
      <c r="C19" s="8" t="s">
        <v>16</v>
      </c>
      <c r="D19" s="8" t="s">
        <v>16</v>
      </c>
      <c r="E19" s="9">
        <v>58</v>
      </c>
      <c r="F19" s="7" t="s">
        <v>16</v>
      </c>
      <c r="G19" s="5" t="s">
        <v>317</v>
      </c>
      <c r="H19" s="5" t="s">
        <v>318</v>
      </c>
      <c r="I19" s="5" t="s">
        <v>319</v>
      </c>
      <c r="J19" s="5" t="s">
        <v>320</v>
      </c>
      <c r="K19" s="5" t="s">
        <v>321</v>
      </c>
      <c r="L19" s="5" t="s">
        <v>322</v>
      </c>
      <c r="M19" s="5" t="s">
        <v>323</v>
      </c>
    </row>
    <row r="20" spans="1:13">
      <c r="A20" s="7">
        <v>2</v>
      </c>
      <c r="B20" s="7">
        <v>3</v>
      </c>
      <c r="C20" s="8" t="s">
        <v>16</v>
      </c>
      <c r="D20" s="8" t="s">
        <v>14</v>
      </c>
      <c r="E20" s="9">
        <v>49</v>
      </c>
      <c r="F20" s="7" t="s">
        <v>60</v>
      </c>
      <c r="G20" s="5" t="s">
        <v>324</v>
      </c>
      <c r="H20" s="5" t="s">
        <v>325</v>
      </c>
      <c r="I20" s="5" t="s">
        <v>326</v>
      </c>
      <c r="J20" s="5" t="s">
        <v>327</v>
      </c>
      <c r="K20" s="5" t="s">
        <v>328</v>
      </c>
      <c r="L20" s="5" t="s">
        <v>329</v>
      </c>
      <c r="M20" s="5" t="s">
        <v>330</v>
      </c>
    </row>
    <row r="21" spans="1:13">
      <c r="A21" s="7">
        <v>2</v>
      </c>
      <c r="B21" s="7">
        <v>4</v>
      </c>
      <c r="C21" s="8" t="s">
        <v>16</v>
      </c>
      <c r="D21" s="8" t="s">
        <v>8</v>
      </c>
      <c r="E21" s="8">
        <v>17</v>
      </c>
      <c r="F21" s="7" t="s">
        <v>49</v>
      </c>
      <c r="G21" s="10" t="s">
        <v>193</v>
      </c>
      <c r="H21" s="10" t="s">
        <v>194</v>
      </c>
      <c r="I21" s="10" t="s">
        <v>195</v>
      </c>
      <c r="J21" s="10" t="s">
        <v>196</v>
      </c>
      <c r="K21" s="10" t="s">
        <v>197</v>
      </c>
      <c r="L21" s="10" t="s">
        <v>198</v>
      </c>
      <c r="M21" s="10" t="s">
        <v>199</v>
      </c>
    </row>
    <row r="22" spans="1:13">
      <c r="A22" s="7">
        <v>2</v>
      </c>
      <c r="B22" s="7">
        <v>5</v>
      </c>
      <c r="C22" s="8" t="s">
        <v>16</v>
      </c>
      <c r="D22" s="8" t="s">
        <v>18</v>
      </c>
      <c r="E22" s="8">
        <v>28</v>
      </c>
      <c r="F22" s="7" t="s">
        <v>48</v>
      </c>
      <c r="G22" s="10" t="s">
        <v>270</v>
      </c>
      <c r="H22" s="10" t="s">
        <v>271</v>
      </c>
      <c r="I22" s="10" t="s">
        <v>272</v>
      </c>
      <c r="J22" s="10" t="s">
        <v>273</v>
      </c>
      <c r="K22" s="10" t="s">
        <v>274</v>
      </c>
      <c r="L22" s="10" t="s">
        <v>275</v>
      </c>
      <c r="M22" s="10" t="s">
        <v>276</v>
      </c>
    </row>
    <row r="23" spans="1:13">
      <c r="A23" s="7">
        <v>2</v>
      </c>
      <c r="B23" s="7">
        <v>6</v>
      </c>
      <c r="C23" s="8" t="s">
        <v>16</v>
      </c>
      <c r="D23" s="8" t="s">
        <v>9</v>
      </c>
      <c r="E23" s="9">
        <v>47</v>
      </c>
      <c r="F23" s="7" t="s">
        <v>29</v>
      </c>
      <c r="G23" s="5" t="s">
        <v>331</v>
      </c>
      <c r="H23" s="5" t="s">
        <v>332</v>
      </c>
      <c r="I23" s="5" t="s">
        <v>333</v>
      </c>
      <c r="J23" s="5" t="s">
        <v>334</v>
      </c>
      <c r="K23" s="5" t="s">
        <v>335</v>
      </c>
      <c r="L23" s="5" t="s">
        <v>336</v>
      </c>
      <c r="M23" s="5" t="s">
        <v>337</v>
      </c>
    </row>
    <row r="24" spans="1:13">
      <c r="A24" s="7">
        <v>2</v>
      </c>
      <c r="B24" s="7">
        <v>7</v>
      </c>
      <c r="C24" s="8" t="s">
        <v>16</v>
      </c>
      <c r="D24" s="8" t="s">
        <v>17</v>
      </c>
      <c r="E24" s="8">
        <v>31</v>
      </c>
      <c r="F24" s="7" t="s">
        <v>31</v>
      </c>
      <c r="G24" s="10" t="s">
        <v>291</v>
      </c>
      <c r="H24" s="10" t="s">
        <v>292</v>
      </c>
      <c r="I24" s="10" t="s">
        <v>293</v>
      </c>
      <c r="J24" s="10" t="s">
        <v>294</v>
      </c>
      <c r="K24" s="10" t="s">
        <v>528</v>
      </c>
      <c r="L24" s="10" t="s">
        <v>295</v>
      </c>
      <c r="M24" s="10" t="s">
        <v>296</v>
      </c>
    </row>
    <row r="25" spans="1:13">
      <c r="A25" s="7">
        <v>2</v>
      </c>
      <c r="B25" s="7">
        <v>8</v>
      </c>
      <c r="C25" s="8" t="s">
        <v>16</v>
      </c>
      <c r="D25" s="8" t="s">
        <v>7</v>
      </c>
      <c r="E25" s="9">
        <v>45</v>
      </c>
      <c r="F25" s="7" t="s">
        <v>30</v>
      </c>
      <c r="G25" s="7" t="s">
        <v>338</v>
      </c>
      <c r="H25" s="11" t="s">
        <v>339</v>
      </c>
      <c r="I25" s="7" t="s">
        <v>340</v>
      </c>
      <c r="J25" s="7" t="s">
        <v>341</v>
      </c>
      <c r="K25" s="7" t="s">
        <v>342</v>
      </c>
      <c r="L25" s="5" t="s">
        <v>343</v>
      </c>
      <c r="M25" s="5" t="s">
        <v>344</v>
      </c>
    </row>
    <row r="26" spans="1:13">
      <c r="A26" s="7">
        <v>3</v>
      </c>
      <c r="B26" s="7">
        <v>1</v>
      </c>
      <c r="C26" s="8" t="s">
        <v>14</v>
      </c>
      <c r="D26" s="8" t="s">
        <v>6</v>
      </c>
      <c r="E26" s="8">
        <v>14</v>
      </c>
      <c r="F26" s="9" t="s">
        <v>28</v>
      </c>
      <c r="G26" s="10" t="s">
        <v>172</v>
      </c>
      <c r="H26" s="10" t="s">
        <v>173</v>
      </c>
      <c r="I26" s="10" t="s">
        <v>174</v>
      </c>
      <c r="J26" s="10" t="s">
        <v>175</v>
      </c>
      <c r="K26" s="10" t="s">
        <v>176</v>
      </c>
      <c r="L26" s="10" t="s">
        <v>177</v>
      </c>
      <c r="M26" s="10" t="s">
        <v>178</v>
      </c>
    </row>
    <row r="27" spans="1:13">
      <c r="A27" s="7">
        <v>3</v>
      </c>
      <c r="B27" s="7">
        <v>2</v>
      </c>
      <c r="C27" s="8" t="s">
        <v>14</v>
      </c>
      <c r="D27" s="8" t="s">
        <v>16</v>
      </c>
      <c r="E27" s="9">
        <v>38</v>
      </c>
      <c r="F27" s="9" t="s">
        <v>67</v>
      </c>
      <c r="G27" s="7" t="s">
        <v>345</v>
      </c>
      <c r="H27" s="7" t="s">
        <v>346</v>
      </c>
      <c r="I27" s="5" t="s">
        <v>347</v>
      </c>
      <c r="J27" s="7" t="s">
        <v>348</v>
      </c>
      <c r="K27" s="5" t="s">
        <v>349</v>
      </c>
      <c r="L27" s="5" t="s">
        <v>350</v>
      </c>
      <c r="M27" s="5" t="s">
        <v>351</v>
      </c>
    </row>
    <row r="28" spans="1:13">
      <c r="A28" s="7">
        <v>3</v>
      </c>
      <c r="B28" s="7">
        <v>3</v>
      </c>
      <c r="C28" s="8" t="s">
        <v>14</v>
      </c>
      <c r="D28" s="8" t="s">
        <v>14</v>
      </c>
      <c r="E28" s="8">
        <v>30</v>
      </c>
      <c r="F28" s="7" t="s">
        <v>14</v>
      </c>
      <c r="G28" s="10" t="s">
        <v>284</v>
      </c>
      <c r="H28" s="10" t="s">
        <v>285</v>
      </c>
      <c r="I28" s="10" t="s">
        <v>286</v>
      </c>
      <c r="J28" s="10" t="s">
        <v>287</v>
      </c>
      <c r="K28" s="10" t="s">
        <v>288</v>
      </c>
      <c r="L28" s="10" t="s">
        <v>289</v>
      </c>
      <c r="M28" s="10" t="s">
        <v>290</v>
      </c>
    </row>
    <row r="29" spans="1:13">
      <c r="A29" s="7">
        <v>3</v>
      </c>
      <c r="B29" s="7">
        <v>4</v>
      </c>
      <c r="C29" s="8" t="s">
        <v>14</v>
      </c>
      <c r="D29" s="8" t="s">
        <v>8</v>
      </c>
      <c r="E29" s="8">
        <v>21</v>
      </c>
      <c r="F29" s="7" t="s">
        <v>54</v>
      </c>
      <c r="G29" s="10" t="s">
        <v>221</v>
      </c>
      <c r="H29" s="10" t="s">
        <v>222</v>
      </c>
      <c r="I29" s="10" t="s">
        <v>223</v>
      </c>
      <c r="J29" s="10" t="s">
        <v>224</v>
      </c>
      <c r="K29" s="10" t="s">
        <v>225</v>
      </c>
      <c r="L29" s="10" t="s">
        <v>226</v>
      </c>
      <c r="M29" s="10" t="s">
        <v>227</v>
      </c>
    </row>
    <row r="30" spans="1:13">
      <c r="A30" s="7">
        <v>3</v>
      </c>
      <c r="B30" s="7">
        <v>5</v>
      </c>
      <c r="C30" s="8" t="s">
        <v>14</v>
      </c>
      <c r="D30" s="8" t="s">
        <v>18</v>
      </c>
      <c r="E30" s="9">
        <v>50</v>
      </c>
      <c r="F30" s="7" t="s">
        <v>37</v>
      </c>
      <c r="G30" s="5" t="s">
        <v>352</v>
      </c>
      <c r="H30" s="5" t="s">
        <v>353</v>
      </c>
      <c r="I30" s="5" t="s">
        <v>354</v>
      </c>
      <c r="J30" s="5" t="s">
        <v>355</v>
      </c>
      <c r="K30" s="5" t="s">
        <v>356</v>
      </c>
      <c r="L30" s="5" t="s">
        <v>357</v>
      </c>
      <c r="M30" s="5" t="s">
        <v>358</v>
      </c>
    </row>
    <row r="31" spans="1:13">
      <c r="A31" s="7">
        <v>3</v>
      </c>
      <c r="B31" s="7">
        <v>6</v>
      </c>
      <c r="C31" s="8" t="s">
        <v>14</v>
      </c>
      <c r="D31" s="8" t="s">
        <v>9</v>
      </c>
      <c r="E31" s="9">
        <v>64</v>
      </c>
      <c r="F31" s="7" t="s">
        <v>38</v>
      </c>
      <c r="G31" s="5" t="s">
        <v>359</v>
      </c>
      <c r="H31" s="5" t="s">
        <v>360</v>
      </c>
      <c r="I31" s="5" t="s">
        <v>361</v>
      </c>
      <c r="J31" s="5" t="s">
        <v>362</v>
      </c>
      <c r="K31" s="5" t="s">
        <v>363</v>
      </c>
      <c r="L31" s="5" t="s">
        <v>364</v>
      </c>
      <c r="M31" s="5" t="s">
        <v>365</v>
      </c>
    </row>
    <row r="32" spans="1:13">
      <c r="A32" s="7">
        <v>3</v>
      </c>
      <c r="B32" s="7">
        <v>7</v>
      </c>
      <c r="C32" s="8" t="s">
        <v>14</v>
      </c>
      <c r="D32" s="8" t="s">
        <v>17</v>
      </c>
      <c r="E32" s="9">
        <v>56</v>
      </c>
      <c r="F32" s="7" t="s">
        <v>36</v>
      </c>
      <c r="G32" s="5" t="s">
        <v>366</v>
      </c>
      <c r="H32" s="5" t="s">
        <v>367</v>
      </c>
      <c r="I32" s="5" t="s">
        <v>368</v>
      </c>
      <c r="J32" s="5" t="s">
        <v>369</v>
      </c>
      <c r="K32" s="5" t="s">
        <v>370</v>
      </c>
      <c r="L32" s="5" t="s">
        <v>371</v>
      </c>
      <c r="M32" s="5" t="s">
        <v>372</v>
      </c>
    </row>
    <row r="33" spans="1:15">
      <c r="A33" s="7">
        <v>3</v>
      </c>
      <c r="B33" s="7">
        <v>8</v>
      </c>
      <c r="C33" s="8" t="s">
        <v>14</v>
      </c>
      <c r="D33" s="8" t="s">
        <v>7</v>
      </c>
      <c r="E33" s="8">
        <v>35</v>
      </c>
      <c r="F33" s="7" t="s">
        <v>27</v>
      </c>
      <c r="G33" s="5" t="s">
        <v>373</v>
      </c>
      <c r="H33" s="5" t="s">
        <v>374</v>
      </c>
      <c r="I33" s="5" t="s">
        <v>375</v>
      </c>
      <c r="J33" s="5" t="s">
        <v>376</v>
      </c>
      <c r="K33" s="5" t="s">
        <v>377</v>
      </c>
      <c r="L33" s="5" t="s">
        <v>378</v>
      </c>
      <c r="M33" s="5" t="s">
        <v>379</v>
      </c>
    </row>
    <row r="34" spans="1:15">
      <c r="A34" s="7">
        <v>4</v>
      </c>
      <c r="B34" s="7">
        <v>1</v>
      </c>
      <c r="C34" s="8" t="s">
        <v>8</v>
      </c>
      <c r="D34" s="8" t="s">
        <v>6</v>
      </c>
      <c r="E34" s="8">
        <v>34</v>
      </c>
      <c r="F34" s="9" t="s">
        <v>74</v>
      </c>
      <c r="G34" s="7" t="s">
        <v>380</v>
      </c>
      <c r="H34" s="5" t="s">
        <v>381</v>
      </c>
      <c r="I34" s="5" t="s">
        <v>382</v>
      </c>
      <c r="J34" s="5" t="s">
        <v>383</v>
      </c>
      <c r="K34" s="5" t="s">
        <v>384</v>
      </c>
      <c r="L34" s="5" t="s">
        <v>385</v>
      </c>
      <c r="M34" s="5" t="s">
        <v>386</v>
      </c>
    </row>
    <row r="35" spans="1:15">
      <c r="A35" s="7">
        <v>4</v>
      </c>
      <c r="B35" s="7">
        <v>2</v>
      </c>
      <c r="C35" s="8" t="s">
        <v>8</v>
      </c>
      <c r="D35" s="8" t="s">
        <v>16</v>
      </c>
      <c r="E35" s="9">
        <v>54</v>
      </c>
      <c r="F35" s="7" t="s">
        <v>35</v>
      </c>
      <c r="G35" s="5" t="s">
        <v>387</v>
      </c>
      <c r="H35" s="5" t="s">
        <v>388</v>
      </c>
      <c r="I35" s="5" t="s">
        <v>389</v>
      </c>
      <c r="J35" s="5" t="s">
        <v>390</v>
      </c>
      <c r="K35" s="5" t="s">
        <v>391</v>
      </c>
      <c r="L35" s="5" t="s">
        <v>392</v>
      </c>
      <c r="M35" s="5" t="s">
        <v>393</v>
      </c>
    </row>
    <row r="36" spans="1:15">
      <c r="A36" s="7">
        <v>4</v>
      </c>
      <c r="B36" s="7">
        <v>3</v>
      </c>
      <c r="C36" s="8" t="s">
        <v>8</v>
      </c>
      <c r="D36" s="8" t="s">
        <v>14</v>
      </c>
      <c r="E36" s="9">
        <v>55</v>
      </c>
      <c r="F36" s="7" t="s">
        <v>61</v>
      </c>
      <c r="G36" s="5" t="s">
        <v>394</v>
      </c>
      <c r="H36" s="5" t="s">
        <v>395</v>
      </c>
      <c r="I36" s="5" t="s">
        <v>396</v>
      </c>
      <c r="J36" s="5" t="s">
        <v>397</v>
      </c>
      <c r="K36" s="5" t="s">
        <v>398</v>
      </c>
      <c r="L36" s="5" t="s">
        <v>399</v>
      </c>
      <c r="M36" s="5" t="s">
        <v>400</v>
      </c>
    </row>
    <row r="37" spans="1:15">
      <c r="A37" s="7">
        <v>4</v>
      </c>
      <c r="B37" s="7">
        <v>4</v>
      </c>
      <c r="C37" s="8" t="s">
        <v>8</v>
      </c>
      <c r="D37" s="8" t="s">
        <v>8</v>
      </c>
      <c r="E37" s="8">
        <v>51</v>
      </c>
      <c r="F37" s="7" t="s">
        <v>8</v>
      </c>
      <c r="G37" s="5" t="s">
        <v>401</v>
      </c>
      <c r="H37" s="5" t="s">
        <v>402</v>
      </c>
      <c r="I37" s="5" t="s">
        <v>403</v>
      </c>
      <c r="J37" s="5" t="s">
        <v>404</v>
      </c>
      <c r="K37" s="5" t="s">
        <v>405</v>
      </c>
      <c r="L37" s="5" t="s">
        <v>406</v>
      </c>
      <c r="M37" s="5" t="s">
        <v>407</v>
      </c>
      <c r="N37" s="10"/>
      <c r="O37" s="10"/>
    </row>
    <row r="38" spans="1:15">
      <c r="A38" s="7">
        <v>4</v>
      </c>
      <c r="B38" s="7">
        <v>5</v>
      </c>
      <c r="C38" s="8" t="s">
        <v>8</v>
      </c>
      <c r="D38" s="8" t="s">
        <v>18</v>
      </c>
      <c r="E38" s="8">
        <v>32</v>
      </c>
      <c r="F38" s="7" t="s">
        <v>45</v>
      </c>
      <c r="G38" s="10" t="s">
        <v>408</v>
      </c>
      <c r="H38" s="10" t="s">
        <v>409</v>
      </c>
      <c r="I38" s="10" t="s">
        <v>410</v>
      </c>
      <c r="J38" s="10" t="s">
        <v>411</v>
      </c>
      <c r="K38" s="10" t="s">
        <v>412</v>
      </c>
      <c r="L38" s="10" t="s">
        <v>413</v>
      </c>
      <c r="M38" s="10" t="s">
        <v>414</v>
      </c>
      <c r="N38" s="10"/>
      <c r="O38" s="10"/>
    </row>
    <row r="39" spans="1:15">
      <c r="A39" s="7">
        <v>4</v>
      </c>
      <c r="B39" s="7">
        <v>6</v>
      </c>
      <c r="C39" s="8" t="s">
        <v>8</v>
      </c>
      <c r="D39" s="8" t="s">
        <v>9</v>
      </c>
      <c r="E39" s="8">
        <v>40</v>
      </c>
      <c r="F39" s="7" t="s">
        <v>44</v>
      </c>
      <c r="G39" s="5" t="s">
        <v>415</v>
      </c>
      <c r="H39" s="5" t="s">
        <v>416</v>
      </c>
      <c r="I39" s="5" t="s">
        <v>417</v>
      </c>
      <c r="J39" s="5" t="s">
        <v>418</v>
      </c>
      <c r="K39" s="5" t="s">
        <v>419</v>
      </c>
      <c r="L39" s="5" t="s">
        <v>420</v>
      </c>
      <c r="M39" s="5" t="s">
        <v>421</v>
      </c>
    </row>
    <row r="40" spans="1:15">
      <c r="A40" s="7">
        <v>4</v>
      </c>
      <c r="B40" s="7">
        <v>7</v>
      </c>
      <c r="C40" s="8" t="s">
        <v>8</v>
      </c>
      <c r="D40" s="8" t="s">
        <v>17</v>
      </c>
      <c r="E40" s="9">
        <v>62</v>
      </c>
      <c r="F40" s="7" t="s">
        <v>34</v>
      </c>
      <c r="G40" s="5" t="s">
        <v>422</v>
      </c>
      <c r="H40" s="5" t="s">
        <v>423</v>
      </c>
      <c r="I40" s="5" t="s">
        <v>424</v>
      </c>
      <c r="J40" s="5" t="s">
        <v>425</v>
      </c>
      <c r="K40" s="5" t="s">
        <v>426</v>
      </c>
      <c r="L40" s="5" t="s">
        <v>427</v>
      </c>
      <c r="M40" s="5" t="s">
        <v>428</v>
      </c>
    </row>
    <row r="41" spans="1:15">
      <c r="A41" s="7">
        <v>4</v>
      </c>
      <c r="B41" s="7">
        <v>8</v>
      </c>
      <c r="C41" s="8" t="s">
        <v>8</v>
      </c>
      <c r="D41" s="8" t="s">
        <v>7</v>
      </c>
      <c r="E41" s="8">
        <v>16</v>
      </c>
      <c r="F41" s="7" t="s">
        <v>43</v>
      </c>
      <c r="G41" s="10" t="s">
        <v>186</v>
      </c>
      <c r="H41" s="10" t="s">
        <v>187</v>
      </c>
      <c r="I41" s="10" t="s">
        <v>188</v>
      </c>
      <c r="J41" s="10" t="s">
        <v>189</v>
      </c>
      <c r="K41" s="10" t="s">
        <v>190</v>
      </c>
      <c r="L41" s="10" t="s">
        <v>191</v>
      </c>
      <c r="M41" s="10" t="s">
        <v>192</v>
      </c>
    </row>
    <row r="42" spans="1:15">
      <c r="A42" s="7">
        <v>5</v>
      </c>
      <c r="B42" s="7">
        <v>1</v>
      </c>
      <c r="C42" s="8" t="s">
        <v>18</v>
      </c>
      <c r="D42" s="8" t="s">
        <v>6</v>
      </c>
      <c r="E42" s="8">
        <v>9</v>
      </c>
      <c r="F42" s="7" t="s">
        <v>50</v>
      </c>
      <c r="G42" s="10" t="s">
        <v>137</v>
      </c>
      <c r="H42" s="10" t="s">
        <v>138</v>
      </c>
      <c r="I42" s="10" t="s">
        <v>139</v>
      </c>
      <c r="J42" s="10" t="s">
        <v>140</v>
      </c>
      <c r="K42" s="10" t="s">
        <v>141</v>
      </c>
      <c r="L42" s="10" t="s">
        <v>142</v>
      </c>
      <c r="M42" s="10" t="s">
        <v>143</v>
      </c>
    </row>
    <row r="43" spans="1:15">
      <c r="A43" s="7">
        <v>5</v>
      </c>
      <c r="B43" s="7">
        <v>2</v>
      </c>
      <c r="C43" s="8" t="s">
        <v>18</v>
      </c>
      <c r="D43" s="8" t="s">
        <v>16</v>
      </c>
      <c r="E43" s="9">
        <v>61</v>
      </c>
      <c r="F43" s="7" t="s">
        <v>69</v>
      </c>
      <c r="G43" s="5" t="s">
        <v>429</v>
      </c>
      <c r="H43" s="5" t="s">
        <v>430</v>
      </c>
      <c r="I43" s="5" t="s">
        <v>431</v>
      </c>
      <c r="J43" s="5" t="s">
        <v>432</v>
      </c>
      <c r="K43" s="5" t="s">
        <v>433</v>
      </c>
      <c r="L43" s="5" t="s">
        <v>434</v>
      </c>
      <c r="M43" s="5" t="s">
        <v>435</v>
      </c>
    </row>
    <row r="44" spans="1:15">
      <c r="A44" s="7">
        <v>5</v>
      </c>
      <c r="B44" s="7">
        <v>3</v>
      </c>
      <c r="C44" s="8" t="s">
        <v>18</v>
      </c>
      <c r="D44" s="8" t="s">
        <v>14</v>
      </c>
      <c r="E44" s="8">
        <v>37</v>
      </c>
      <c r="F44" s="7" t="s">
        <v>51</v>
      </c>
      <c r="G44" s="7" t="s">
        <v>436</v>
      </c>
      <c r="H44" s="7" t="s">
        <v>437</v>
      </c>
      <c r="I44" s="7" t="s">
        <v>438</v>
      </c>
      <c r="J44" s="7" t="s">
        <v>439</v>
      </c>
      <c r="K44" s="7" t="s">
        <v>440</v>
      </c>
      <c r="L44" s="7" t="s">
        <v>441</v>
      </c>
      <c r="M44" s="7" t="s">
        <v>442</v>
      </c>
    </row>
    <row r="45" spans="1:15">
      <c r="A45" s="7">
        <v>5</v>
      </c>
      <c r="B45" s="7">
        <v>4</v>
      </c>
      <c r="C45" s="8" t="s">
        <v>18</v>
      </c>
      <c r="D45" s="8" t="s">
        <v>8</v>
      </c>
      <c r="E45" s="9">
        <v>42</v>
      </c>
      <c r="F45" s="7" t="s">
        <v>52</v>
      </c>
      <c r="G45" s="5" t="s">
        <v>443</v>
      </c>
      <c r="H45" s="5" t="s">
        <v>444</v>
      </c>
      <c r="I45" s="5" t="s">
        <v>445</v>
      </c>
      <c r="J45" s="5" t="s">
        <v>446</v>
      </c>
      <c r="K45" s="5" t="s">
        <v>447</v>
      </c>
      <c r="L45" s="5" t="s">
        <v>448</v>
      </c>
      <c r="M45" s="5" t="s">
        <v>449</v>
      </c>
    </row>
    <row r="46" spans="1:15">
      <c r="A46" s="7">
        <v>5</v>
      </c>
      <c r="B46" s="7">
        <v>5</v>
      </c>
      <c r="C46" s="8" t="s">
        <v>18</v>
      </c>
      <c r="D46" s="8" t="s">
        <v>18</v>
      </c>
      <c r="E46" s="9">
        <v>57</v>
      </c>
      <c r="F46" s="7" t="s">
        <v>18</v>
      </c>
      <c r="G46" s="5" t="s">
        <v>450</v>
      </c>
      <c r="H46" s="5" t="s">
        <v>451</v>
      </c>
      <c r="I46" s="5" t="s">
        <v>452</v>
      </c>
      <c r="J46" s="5" t="s">
        <v>453</v>
      </c>
      <c r="K46" s="5" t="s">
        <v>454</v>
      </c>
      <c r="L46" s="5" t="s">
        <v>455</v>
      </c>
      <c r="M46" s="5" t="s">
        <v>456</v>
      </c>
    </row>
    <row r="47" spans="1:15">
      <c r="A47" s="7">
        <v>5</v>
      </c>
      <c r="B47" s="7">
        <v>6</v>
      </c>
      <c r="C47" s="8" t="s">
        <v>18</v>
      </c>
      <c r="D47" s="8" t="s">
        <v>9</v>
      </c>
      <c r="E47" s="9">
        <v>59</v>
      </c>
      <c r="F47" s="7" t="s">
        <v>40</v>
      </c>
      <c r="G47" s="5" t="s">
        <v>457</v>
      </c>
      <c r="H47" s="5" t="s">
        <v>458</v>
      </c>
      <c r="I47" s="5" t="s">
        <v>459</v>
      </c>
      <c r="J47" s="5" t="s">
        <v>460</v>
      </c>
      <c r="K47" s="5" t="s">
        <v>461</v>
      </c>
      <c r="L47" s="5" t="s">
        <v>462</v>
      </c>
      <c r="M47" s="5" t="s">
        <v>463</v>
      </c>
    </row>
    <row r="48" spans="1:15">
      <c r="A48" s="7">
        <v>5</v>
      </c>
      <c r="B48" s="7">
        <v>7</v>
      </c>
      <c r="C48" s="8" t="s">
        <v>18</v>
      </c>
      <c r="D48" s="8" t="s">
        <v>17</v>
      </c>
      <c r="E48" s="8">
        <v>53</v>
      </c>
      <c r="F48" s="7" t="s">
        <v>70</v>
      </c>
      <c r="G48" s="5" t="s">
        <v>464</v>
      </c>
      <c r="H48" s="5" t="s">
        <v>465</v>
      </c>
      <c r="I48" s="5" t="s">
        <v>466</v>
      </c>
      <c r="J48" s="5" t="s">
        <v>467</v>
      </c>
      <c r="K48" s="5" t="s">
        <v>468</v>
      </c>
      <c r="L48" s="5" t="s">
        <v>469</v>
      </c>
      <c r="M48" s="5" t="s">
        <v>470</v>
      </c>
    </row>
    <row r="49" spans="1:13">
      <c r="A49" s="7">
        <v>5</v>
      </c>
      <c r="B49" s="7">
        <v>8</v>
      </c>
      <c r="C49" s="8" t="s">
        <v>18</v>
      </c>
      <c r="D49" s="8" t="s">
        <v>7</v>
      </c>
      <c r="E49" s="8">
        <v>20</v>
      </c>
      <c r="F49" s="7" t="s">
        <v>25</v>
      </c>
      <c r="G49" s="10" t="s">
        <v>214</v>
      </c>
      <c r="H49" s="10" t="s">
        <v>215</v>
      </c>
      <c r="I49" s="10" t="s">
        <v>216</v>
      </c>
      <c r="J49" s="10" t="s">
        <v>217</v>
      </c>
      <c r="K49" s="10" t="s">
        <v>218</v>
      </c>
      <c r="L49" s="10" t="s">
        <v>219</v>
      </c>
      <c r="M49" s="10" t="s">
        <v>220</v>
      </c>
    </row>
    <row r="50" spans="1:13">
      <c r="A50" s="7">
        <v>6</v>
      </c>
      <c r="B50" s="7">
        <v>1</v>
      </c>
      <c r="C50" s="8" t="s">
        <v>9</v>
      </c>
      <c r="D50" s="8" t="s">
        <v>6</v>
      </c>
      <c r="E50" s="8">
        <v>5</v>
      </c>
      <c r="F50" s="7" t="s">
        <v>76</v>
      </c>
      <c r="G50" s="10" t="s">
        <v>109</v>
      </c>
      <c r="H50" s="10" t="s">
        <v>110</v>
      </c>
      <c r="I50" s="10" t="s">
        <v>111</v>
      </c>
      <c r="J50" s="10" t="s">
        <v>112</v>
      </c>
      <c r="K50" s="10" t="s">
        <v>113</v>
      </c>
      <c r="L50" s="10" t="s">
        <v>114</v>
      </c>
      <c r="M50" s="10" t="s">
        <v>115</v>
      </c>
    </row>
    <row r="51" spans="1:13">
      <c r="A51" s="7">
        <v>6</v>
      </c>
      <c r="B51" s="7">
        <v>2</v>
      </c>
      <c r="C51" s="8" t="s">
        <v>9</v>
      </c>
      <c r="D51" s="8" t="s">
        <v>16</v>
      </c>
      <c r="E51" s="9">
        <v>60</v>
      </c>
      <c r="F51" s="7" t="s">
        <v>57</v>
      </c>
      <c r="G51" s="5" t="s">
        <v>471</v>
      </c>
      <c r="H51" s="5" t="s">
        <v>472</v>
      </c>
      <c r="I51" s="5" t="s">
        <v>473</v>
      </c>
      <c r="J51" s="5" t="s">
        <v>474</v>
      </c>
      <c r="K51" s="5" t="s">
        <v>475</v>
      </c>
      <c r="L51" s="5" t="s">
        <v>476</v>
      </c>
      <c r="M51" s="5" t="s">
        <v>477</v>
      </c>
    </row>
    <row r="52" spans="1:13">
      <c r="A52" s="7">
        <v>6</v>
      </c>
      <c r="B52" s="7">
        <v>3</v>
      </c>
      <c r="C52" s="8" t="s">
        <v>9</v>
      </c>
      <c r="D52" s="8" t="s">
        <v>14</v>
      </c>
      <c r="E52" s="9">
        <v>63</v>
      </c>
      <c r="F52" s="7" t="s">
        <v>59</v>
      </c>
      <c r="G52" s="5" t="s">
        <v>478</v>
      </c>
      <c r="H52" s="5" t="s">
        <v>479</v>
      </c>
      <c r="I52" s="5" t="s">
        <v>480</v>
      </c>
      <c r="J52" s="5" t="s">
        <v>481</v>
      </c>
      <c r="K52" s="5" t="s">
        <v>482</v>
      </c>
      <c r="L52" s="5" t="s">
        <v>483</v>
      </c>
      <c r="M52" s="5" t="s">
        <v>484</v>
      </c>
    </row>
    <row r="53" spans="1:13">
      <c r="A53" s="7">
        <v>6</v>
      </c>
      <c r="B53" s="7">
        <v>4</v>
      </c>
      <c r="C53" s="8" t="s">
        <v>9</v>
      </c>
      <c r="D53" s="8" t="s">
        <v>8</v>
      </c>
      <c r="E53" s="8">
        <v>3</v>
      </c>
      <c r="F53" s="7" t="s">
        <v>58</v>
      </c>
      <c r="G53" s="10" t="s">
        <v>95</v>
      </c>
      <c r="H53" s="10" t="s">
        <v>96</v>
      </c>
      <c r="I53" s="10" t="s">
        <v>97</v>
      </c>
      <c r="J53" s="10" t="s">
        <v>98</v>
      </c>
      <c r="K53" s="10" t="s">
        <v>99</v>
      </c>
      <c r="L53" s="10" t="s">
        <v>100</v>
      </c>
      <c r="M53" s="10" t="s">
        <v>101</v>
      </c>
    </row>
    <row r="54" spans="1:13">
      <c r="A54" s="7">
        <v>6</v>
      </c>
      <c r="B54" s="7">
        <v>5</v>
      </c>
      <c r="C54" s="8" t="s">
        <v>9</v>
      </c>
      <c r="D54" s="8" t="s">
        <v>18</v>
      </c>
      <c r="E54" s="9">
        <v>48</v>
      </c>
      <c r="F54" s="7" t="s">
        <v>47</v>
      </c>
      <c r="G54" s="5" t="s">
        <v>485</v>
      </c>
      <c r="H54" s="5" t="s">
        <v>530</v>
      </c>
      <c r="I54" s="5" t="s">
        <v>486</v>
      </c>
      <c r="J54" s="5" t="s">
        <v>487</v>
      </c>
      <c r="K54" s="5" t="s">
        <v>488</v>
      </c>
      <c r="L54" s="5" t="s">
        <v>489</v>
      </c>
      <c r="M54" s="5" t="s">
        <v>490</v>
      </c>
    </row>
    <row r="55" spans="1:13">
      <c r="A55" s="7">
        <v>6</v>
      </c>
      <c r="B55" s="7">
        <v>6</v>
      </c>
      <c r="C55" s="8" t="s">
        <v>9</v>
      </c>
      <c r="D55" s="8" t="s">
        <v>9</v>
      </c>
      <c r="E55" s="8">
        <v>29</v>
      </c>
      <c r="F55" s="7" t="s">
        <v>9</v>
      </c>
      <c r="G55" s="10" t="s">
        <v>277</v>
      </c>
      <c r="H55" s="10" t="s">
        <v>278</v>
      </c>
      <c r="I55" s="10" t="s">
        <v>279</v>
      </c>
      <c r="J55" s="10" t="s">
        <v>280</v>
      </c>
      <c r="K55" s="10" t="s">
        <v>281</v>
      </c>
      <c r="L55" s="10" t="s">
        <v>282</v>
      </c>
      <c r="M55" s="10" t="s">
        <v>283</v>
      </c>
    </row>
    <row r="56" spans="1:13">
      <c r="A56" s="7">
        <v>6</v>
      </c>
      <c r="B56" s="7">
        <v>7</v>
      </c>
      <c r="C56" s="8" t="s">
        <v>9</v>
      </c>
      <c r="D56" s="8" t="s">
        <v>17</v>
      </c>
      <c r="E56" s="8">
        <v>39</v>
      </c>
      <c r="F56" s="7" t="s">
        <v>32</v>
      </c>
      <c r="G56" s="5" t="s">
        <v>491</v>
      </c>
      <c r="H56" s="5" t="s">
        <v>492</v>
      </c>
      <c r="I56" s="5" t="s">
        <v>493</v>
      </c>
      <c r="J56" s="5" t="s">
        <v>494</v>
      </c>
      <c r="K56" s="5" t="s">
        <v>495</v>
      </c>
      <c r="L56" s="5" t="s">
        <v>496</v>
      </c>
      <c r="M56" s="5" t="s">
        <v>497</v>
      </c>
    </row>
    <row r="57" spans="1:13">
      <c r="A57" s="7">
        <v>6</v>
      </c>
      <c r="B57" s="7">
        <v>8</v>
      </c>
      <c r="C57" s="8" t="s">
        <v>9</v>
      </c>
      <c r="D57" s="8" t="s">
        <v>7</v>
      </c>
      <c r="E57" s="8">
        <v>8</v>
      </c>
      <c r="F57" s="7" t="s">
        <v>77</v>
      </c>
      <c r="G57" s="10" t="s">
        <v>130</v>
      </c>
      <c r="H57" s="10" t="s">
        <v>131</v>
      </c>
      <c r="I57" s="10" t="s">
        <v>132</v>
      </c>
      <c r="J57" s="10" t="s">
        <v>133</v>
      </c>
      <c r="K57" s="10" t="s">
        <v>134</v>
      </c>
      <c r="L57" s="10" t="s">
        <v>135</v>
      </c>
      <c r="M57" s="10" t="s">
        <v>136</v>
      </c>
    </row>
    <row r="58" spans="1:13">
      <c r="A58" s="7">
        <v>7</v>
      </c>
      <c r="B58" s="7">
        <v>1</v>
      </c>
      <c r="C58" s="8" t="s">
        <v>17</v>
      </c>
      <c r="D58" s="8" t="s">
        <v>6</v>
      </c>
      <c r="E58" s="8">
        <v>26</v>
      </c>
      <c r="F58" s="7" t="s">
        <v>65</v>
      </c>
      <c r="G58" s="10" t="s">
        <v>256</v>
      </c>
      <c r="H58" s="10" t="s">
        <v>257</v>
      </c>
      <c r="I58" s="10" t="s">
        <v>258</v>
      </c>
      <c r="J58" s="10" t="s">
        <v>259</v>
      </c>
      <c r="K58" s="10" t="s">
        <v>260</v>
      </c>
      <c r="L58" s="10" t="s">
        <v>261</v>
      </c>
      <c r="M58" s="10" t="s">
        <v>262</v>
      </c>
    </row>
    <row r="59" spans="1:13">
      <c r="A59" s="7">
        <v>7</v>
      </c>
      <c r="B59" s="7">
        <v>2</v>
      </c>
      <c r="C59" s="8" t="s">
        <v>17</v>
      </c>
      <c r="D59" s="8" t="s">
        <v>16</v>
      </c>
      <c r="E59" s="9">
        <v>41</v>
      </c>
      <c r="F59" s="7" t="s">
        <v>66</v>
      </c>
      <c r="G59" s="5" t="s">
        <v>498</v>
      </c>
      <c r="H59" s="5" t="s">
        <v>499</v>
      </c>
      <c r="I59" s="5" t="s">
        <v>500</v>
      </c>
      <c r="J59" s="5" t="s">
        <v>501</v>
      </c>
      <c r="K59" s="5" t="s">
        <v>502</v>
      </c>
      <c r="L59" s="5" t="s">
        <v>503</v>
      </c>
      <c r="M59" s="5" t="s">
        <v>504</v>
      </c>
    </row>
    <row r="60" spans="1:13">
      <c r="A60" s="7">
        <v>7</v>
      </c>
      <c r="B60" s="7">
        <v>3</v>
      </c>
      <c r="C60" s="8" t="s">
        <v>17</v>
      </c>
      <c r="D60" s="8" t="s">
        <v>14</v>
      </c>
      <c r="E60" s="8">
        <v>22</v>
      </c>
      <c r="F60" s="7" t="s">
        <v>64</v>
      </c>
      <c r="G60" s="10" t="s">
        <v>228</v>
      </c>
      <c r="H60" s="10" t="s">
        <v>229</v>
      </c>
      <c r="I60" s="10" t="s">
        <v>230</v>
      </c>
      <c r="J60" s="10" t="s">
        <v>231</v>
      </c>
      <c r="K60" s="10" t="s">
        <v>232</v>
      </c>
      <c r="L60" s="10" t="s">
        <v>233</v>
      </c>
      <c r="M60" s="10" t="s">
        <v>234</v>
      </c>
    </row>
    <row r="61" spans="1:13">
      <c r="A61" s="7">
        <v>7</v>
      </c>
      <c r="B61" s="7">
        <v>4</v>
      </c>
      <c r="C61" s="8" t="s">
        <v>17</v>
      </c>
      <c r="D61" s="8" t="s">
        <v>8</v>
      </c>
      <c r="E61" s="9">
        <v>27</v>
      </c>
      <c r="F61" s="7" t="s">
        <v>55</v>
      </c>
      <c r="G61" s="10" t="s">
        <v>263</v>
      </c>
      <c r="H61" s="10" t="s">
        <v>264</v>
      </c>
      <c r="I61" s="10" t="s">
        <v>265</v>
      </c>
      <c r="J61" s="10" t="s">
        <v>266</v>
      </c>
      <c r="K61" s="10" t="s">
        <v>267</v>
      </c>
      <c r="L61" s="10" t="s">
        <v>268</v>
      </c>
      <c r="M61" s="10" t="s">
        <v>269</v>
      </c>
    </row>
    <row r="62" spans="1:13">
      <c r="A62" s="7">
        <v>7</v>
      </c>
      <c r="B62" s="7">
        <v>5</v>
      </c>
      <c r="C62" s="8" t="s">
        <v>17</v>
      </c>
      <c r="D62" s="8" t="s">
        <v>18</v>
      </c>
      <c r="E62" s="8">
        <v>18</v>
      </c>
      <c r="F62" s="7" t="s">
        <v>56</v>
      </c>
      <c r="G62" s="10" t="s">
        <v>200</v>
      </c>
      <c r="H62" s="10" t="s">
        <v>201</v>
      </c>
      <c r="I62" s="10" t="s">
        <v>202</v>
      </c>
      <c r="J62" s="10" t="s">
        <v>203</v>
      </c>
      <c r="K62" s="10" t="s">
        <v>204</v>
      </c>
      <c r="L62" s="10" t="s">
        <v>205</v>
      </c>
      <c r="M62" s="10" t="s">
        <v>206</v>
      </c>
    </row>
    <row r="63" spans="1:13">
      <c r="A63" s="7">
        <v>7</v>
      </c>
      <c r="B63" s="7">
        <v>6</v>
      </c>
      <c r="C63" s="8" t="s">
        <v>17</v>
      </c>
      <c r="D63" s="8" t="s">
        <v>9</v>
      </c>
      <c r="E63" s="8">
        <v>4</v>
      </c>
      <c r="F63" s="7" t="s">
        <v>39</v>
      </c>
      <c r="G63" s="10" t="s">
        <v>102</v>
      </c>
      <c r="H63" s="10" t="s">
        <v>103</v>
      </c>
      <c r="I63" s="10" t="s">
        <v>104</v>
      </c>
      <c r="J63" s="10" t="s">
        <v>105</v>
      </c>
      <c r="K63" s="10" t="s">
        <v>106</v>
      </c>
      <c r="L63" s="10" t="s">
        <v>107</v>
      </c>
      <c r="M63" s="10" t="s">
        <v>108</v>
      </c>
    </row>
    <row r="64" spans="1:13">
      <c r="A64" s="7">
        <v>7</v>
      </c>
      <c r="B64" s="7">
        <v>7</v>
      </c>
      <c r="C64" s="8" t="s">
        <v>17</v>
      </c>
      <c r="D64" s="8" t="s">
        <v>17</v>
      </c>
      <c r="E64" s="9">
        <v>52</v>
      </c>
      <c r="F64" s="7" t="s">
        <v>17</v>
      </c>
      <c r="G64" s="5" t="s">
        <v>505</v>
      </c>
      <c r="H64" s="5" t="s">
        <v>506</v>
      </c>
      <c r="I64" s="5" t="s">
        <v>507</v>
      </c>
      <c r="J64" s="5" t="s">
        <v>508</v>
      </c>
      <c r="K64" s="5" t="s">
        <v>509</v>
      </c>
      <c r="L64" s="5" t="s">
        <v>510</v>
      </c>
      <c r="M64" s="5" t="s">
        <v>511</v>
      </c>
    </row>
    <row r="65" spans="1:14">
      <c r="A65" s="7">
        <v>7</v>
      </c>
      <c r="B65" s="7">
        <v>8</v>
      </c>
      <c r="C65" s="8" t="s">
        <v>17</v>
      </c>
      <c r="D65" s="8" t="s">
        <v>7</v>
      </c>
      <c r="E65" s="9">
        <v>23</v>
      </c>
      <c r="F65" s="7" t="s">
        <v>26</v>
      </c>
      <c r="G65" s="10" t="s">
        <v>235</v>
      </c>
      <c r="H65" s="10" t="s">
        <v>236</v>
      </c>
      <c r="I65" s="10" t="s">
        <v>237</v>
      </c>
      <c r="J65" s="10" t="s">
        <v>238</v>
      </c>
      <c r="K65" s="10" t="s">
        <v>239</v>
      </c>
      <c r="L65" s="10" t="s">
        <v>240</v>
      </c>
      <c r="M65" s="10" t="s">
        <v>241</v>
      </c>
    </row>
    <row r="66" spans="1:14">
      <c r="A66" s="7">
        <v>8</v>
      </c>
      <c r="B66" s="7">
        <v>1</v>
      </c>
      <c r="C66" s="8" t="s">
        <v>7</v>
      </c>
      <c r="D66" s="8" t="s">
        <v>6</v>
      </c>
      <c r="E66" s="8">
        <v>11</v>
      </c>
      <c r="F66" s="7" t="s">
        <v>73</v>
      </c>
      <c r="G66" s="10" t="s">
        <v>151</v>
      </c>
      <c r="H66" s="10" t="s">
        <v>152</v>
      </c>
      <c r="I66" s="10" t="s">
        <v>153</v>
      </c>
      <c r="J66" s="10" t="s">
        <v>154</v>
      </c>
      <c r="K66" s="10" t="s">
        <v>155</v>
      </c>
      <c r="L66" s="10" t="s">
        <v>156</v>
      </c>
      <c r="M66" s="10" t="s">
        <v>157</v>
      </c>
    </row>
    <row r="67" spans="1:14">
      <c r="A67" s="7">
        <v>8</v>
      </c>
      <c r="B67" s="7">
        <v>2</v>
      </c>
      <c r="C67" s="8" t="s">
        <v>7</v>
      </c>
      <c r="D67" s="8" t="s">
        <v>16</v>
      </c>
      <c r="E67" s="9">
        <v>19</v>
      </c>
      <c r="F67" s="7" t="s">
        <v>72</v>
      </c>
      <c r="G67" s="10" t="s">
        <v>207</v>
      </c>
      <c r="H67" s="10" t="s">
        <v>208</v>
      </c>
      <c r="I67" s="10" t="s">
        <v>209</v>
      </c>
      <c r="J67" s="10" t="s">
        <v>210</v>
      </c>
      <c r="K67" s="10" t="s">
        <v>211</v>
      </c>
      <c r="L67" s="10" t="s">
        <v>212</v>
      </c>
      <c r="M67" s="10" t="s">
        <v>213</v>
      </c>
    </row>
    <row r="68" spans="1:14">
      <c r="A68" s="7">
        <v>8</v>
      </c>
      <c r="B68" s="7">
        <v>3</v>
      </c>
      <c r="C68" s="8" t="s">
        <v>7</v>
      </c>
      <c r="D68" s="8" t="s">
        <v>14</v>
      </c>
      <c r="E68" s="9">
        <v>36</v>
      </c>
      <c r="F68" s="7" t="s">
        <v>62</v>
      </c>
      <c r="G68" s="7" t="s">
        <v>512</v>
      </c>
      <c r="H68" s="11" t="s">
        <v>513</v>
      </c>
      <c r="I68" s="7" t="s">
        <v>514</v>
      </c>
      <c r="J68" s="7" t="s">
        <v>515</v>
      </c>
      <c r="K68" s="7" t="s">
        <v>516</v>
      </c>
      <c r="L68" s="7" t="s">
        <v>517</v>
      </c>
      <c r="M68" s="7" t="s">
        <v>518</v>
      </c>
    </row>
    <row r="69" spans="1:14">
      <c r="A69" s="7">
        <v>8</v>
      </c>
      <c r="B69" s="7">
        <v>4</v>
      </c>
      <c r="C69" s="8" t="s">
        <v>7</v>
      </c>
      <c r="D69" s="8" t="s">
        <v>8</v>
      </c>
      <c r="E69" s="9">
        <v>24</v>
      </c>
      <c r="F69" s="7" t="s">
        <v>71</v>
      </c>
      <c r="G69" s="10" t="s">
        <v>242</v>
      </c>
      <c r="H69" s="10" t="s">
        <v>243</v>
      </c>
      <c r="I69" s="10" t="s">
        <v>244</v>
      </c>
      <c r="J69" s="10" t="s">
        <v>245</v>
      </c>
      <c r="K69" s="10" t="s">
        <v>246</v>
      </c>
      <c r="L69" s="10" t="s">
        <v>247</v>
      </c>
      <c r="M69" s="10" t="s">
        <v>248</v>
      </c>
    </row>
    <row r="70" spans="1:14">
      <c r="A70" s="7">
        <v>8</v>
      </c>
      <c r="B70" s="7">
        <v>5</v>
      </c>
      <c r="C70" s="8" t="s">
        <v>7</v>
      </c>
      <c r="D70" s="8" t="s">
        <v>18</v>
      </c>
      <c r="E70" s="9">
        <v>46</v>
      </c>
      <c r="F70" s="7" t="s">
        <v>46</v>
      </c>
      <c r="G70" s="5" t="s">
        <v>519</v>
      </c>
      <c r="H70" s="5" t="s">
        <v>520</v>
      </c>
      <c r="I70" s="5" t="s">
        <v>521</v>
      </c>
      <c r="J70" s="5" t="s">
        <v>522</v>
      </c>
      <c r="K70" s="5" t="s">
        <v>523</v>
      </c>
      <c r="L70" s="5" t="s">
        <v>524</v>
      </c>
      <c r="M70" s="5" t="s">
        <v>525</v>
      </c>
    </row>
    <row r="71" spans="1:14">
      <c r="A71" s="7">
        <v>8</v>
      </c>
      <c r="B71" s="7">
        <v>6</v>
      </c>
      <c r="C71" s="8" t="s">
        <v>7</v>
      </c>
      <c r="D71" s="8" t="s">
        <v>9</v>
      </c>
      <c r="E71" s="8">
        <v>7</v>
      </c>
      <c r="F71" s="7" t="s">
        <v>63</v>
      </c>
      <c r="G71" s="10" t="s">
        <v>123</v>
      </c>
      <c r="H71" s="10" t="s">
        <v>124</v>
      </c>
      <c r="I71" s="10" t="s">
        <v>125</v>
      </c>
      <c r="J71" s="10" t="s">
        <v>126</v>
      </c>
      <c r="K71" s="10" t="s">
        <v>127</v>
      </c>
      <c r="L71" s="10" t="s">
        <v>128</v>
      </c>
      <c r="M71" s="10" t="s">
        <v>129</v>
      </c>
    </row>
    <row r="72" spans="1:14">
      <c r="A72" s="7">
        <v>8</v>
      </c>
      <c r="B72" s="7">
        <v>7</v>
      </c>
      <c r="C72" s="8" t="s">
        <v>7</v>
      </c>
      <c r="D72" s="8" t="s">
        <v>17</v>
      </c>
      <c r="E72" s="8">
        <v>15</v>
      </c>
      <c r="F72" s="7" t="s">
        <v>33</v>
      </c>
      <c r="G72" s="10" t="s">
        <v>179</v>
      </c>
      <c r="H72" s="10" t="s">
        <v>180</v>
      </c>
      <c r="I72" s="10" t="s">
        <v>181</v>
      </c>
      <c r="J72" s="10" t="s">
        <v>182</v>
      </c>
      <c r="K72" s="10" t="s">
        <v>183</v>
      </c>
      <c r="L72" s="10" t="s">
        <v>184</v>
      </c>
      <c r="M72" s="10" t="s">
        <v>185</v>
      </c>
    </row>
    <row r="73" spans="1:14">
      <c r="A73" s="7">
        <v>8</v>
      </c>
      <c r="B73" s="7">
        <v>8</v>
      </c>
      <c r="C73" s="8" t="s">
        <v>7</v>
      </c>
      <c r="D73" s="8" t="s">
        <v>7</v>
      </c>
      <c r="E73" s="8">
        <v>2</v>
      </c>
      <c r="F73" s="7" t="s">
        <v>7</v>
      </c>
      <c r="G73" s="10" t="s">
        <v>87</v>
      </c>
      <c r="H73" s="10" t="s">
        <v>88</v>
      </c>
      <c r="I73" s="10" t="s">
        <v>89</v>
      </c>
      <c r="J73" s="10" t="s">
        <v>90</v>
      </c>
      <c r="K73" s="10" t="s">
        <v>91</v>
      </c>
      <c r="L73" s="10" t="s">
        <v>92</v>
      </c>
      <c r="M73" s="10" t="s">
        <v>93</v>
      </c>
      <c r="N73" s="10" t="s">
        <v>94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Sunny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Cutee</dc:creator>
  <cp:lastModifiedBy>Cutee</cp:lastModifiedBy>
  <dcterms:created xsi:type="dcterms:W3CDTF">2010-12-09T15:43:06Z</dcterms:created>
  <dcterms:modified xsi:type="dcterms:W3CDTF">2011-02-18T13:53:16Z</dcterms:modified>
</cp:coreProperties>
</file>