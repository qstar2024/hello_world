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65" yWindow="300" windowWidth="14085" windowHeight="5835"/>
  </bookViews>
  <sheets>
    <sheet name="QuickPay" sheetId="4" r:id="rId1"/>
  </sheets>
  <definedNames>
    <definedName name="expand_transaction_from_description_4" localSheetId="0">QuickPay!$B$12</definedName>
    <definedName name="solver_adj" localSheetId="0" hidden="1">QuickPay!$C$26:$G$30,QuickPay!$M$26:$Q$30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QuickPay!$C$27</definedName>
    <definedName name="solver_lhs10" localSheetId="0" hidden="1">QuickPay!$D$29</definedName>
    <definedName name="solver_lhs11" localSheetId="0" hidden="1">QuickPay!$D$30</definedName>
    <definedName name="solver_lhs12" localSheetId="0" hidden="1">QuickPay!$E$26</definedName>
    <definedName name="solver_lhs13" localSheetId="0" hidden="1">QuickPay!$E$28</definedName>
    <definedName name="solver_lhs14" localSheetId="0" hidden="1">QuickPay!$E$27</definedName>
    <definedName name="solver_lhs15" localSheetId="0" hidden="1">QuickPay!$D$31</definedName>
    <definedName name="solver_lhs16" localSheetId="0" hidden="1">QuickPay!$F$26</definedName>
    <definedName name="solver_lhs17" localSheetId="0" hidden="1">QuickPay!$F$30</definedName>
    <definedName name="solver_lhs18" localSheetId="0" hidden="1">QuickPay!$F$28</definedName>
    <definedName name="solver_lhs19" localSheetId="0" hidden="1">QuickPay!$E$30</definedName>
    <definedName name="solver_lhs2" localSheetId="0" hidden="1">QuickPay!$C$28</definedName>
    <definedName name="solver_lhs20" localSheetId="0" hidden="1">QuickPay!$F$31</definedName>
    <definedName name="solver_lhs21" localSheetId="0" hidden="1">QuickPay!$G$27</definedName>
    <definedName name="solver_lhs22" localSheetId="0" hidden="1">QuickPay!$G$28</definedName>
    <definedName name="solver_lhs23" localSheetId="0" hidden="1">QuickPay!$G$26</definedName>
    <definedName name="solver_lhs24" localSheetId="0" hidden="1">QuickPay!$H$30</definedName>
    <definedName name="solver_lhs25" localSheetId="0" hidden="1">QuickPay!$G$29</definedName>
    <definedName name="solver_lhs26" localSheetId="0" hidden="1">QuickPay!$G$31</definedName>
    <definedName name="solver_lhs27" localSheetId="0" hidden="1">QuickPay!$H$28</definedName>
    <definedName name="solver_lhs28" localSheetId="0" hidden="1">QuickPay!$H$26</definedName>
    <definedName name="solver_lhs29" localSheetId="0" hidden="1">QuickPay!$H$29</definedName>
    <definedName name="solver_lhs3" localSheetId="0" hidden="1">QuickPay!$C$29</definedName>
    <definedName name="solver_lhs30" localSheetId="0" hidden="1">QuickPay!$H$27</definedName>
    <definedName name="solver_lhs31" localSheetId="0" hidden="1">QuickPay!$F$29</definedName>
    <definedName name="solver_lhs32" localSheetId="0" hidden="1">QuickPay!$M$29</definedName>
    <definedName name="solver_lhs33" localSheetId="0" hidden="1">QuickPay!$M$28</definedName>
    <definedName name="solver_lhs34" localSheetId="0" hidden="1">QuickPay!$M$30</definedName>
    <definedName name="solver_lhs35" localSheetId="0" hidden="1">QuickPay!$M$26</definedName>
    <definedName name="solver_lhs36" localSheetId="0" hidden="1">QuickPay!$M$27</definedName>
    <definedName name="solver_lhs37" localSheetId="0" hidden="1">QuickPay!$G$30</definedName>
    <definedName name="solver_lhs38" localSheetId="0" hidden="1">QuickPay!$E$31</definedName>
    <definedName name="solver_lhs39" localSheetId="0" hidden="1">QuickPay!$F$27</definedName>
    <definedName name="solver_lhs4" localSheetId="0" hidden="1">QuickPay!$C$30</definedName>
    <definedName name="solver_lhs40" localSheetId="0" hidden="1">QuickPay!$E$29</definedName>
    <definedName name="solver_lhs41" localSheetId="0" hidden="1">QuickPay!$N$30</definedName>
    <definedName name="solver_lhs42" localSheetId="0" hidden="1">QuickPay!$N$28</definedName>
    <definedName name="solver_lhs43" localSheetId="0" hidden="1">QuickPay!$N$27</definedName>
    <definedName name="solver_lhs44" localSheetId="0" hidden="1">QuickPay!$N$29</definedName>
    <definedName name="solver_lhs45" localSheetId="0" hidden="1">QuickPay!$N$26</definedName>
    <definedName name="solver_lhs46" localSheetId="0" hidden="1">QuickPay!$O$26</definedName>
    <definedName name="solver_lhs47" localSheetId="0" hidden="1">QuickPay!$O$28</definedName>
    <definedName name="solver_lhs48" localSheetId="0" hidden="1">QuickPay!$O$30</definedName>
    <definedName name="solver_lhs49" localSheetId="0" hidden="1">QuickPay!$O$29</definedName>
    <definedName name="solver_lhs5" localSheetId="0" hidden="1">QuickPay!$C$31</definedName>
    <definedName name="solver_lhs50" localSheetId="0" hidden="1">QuickPay!$O$27</definedName>
    <definedName name="solver_lhs51" localSheetId="0" hidden="1">QuickPay!$P$26</definedName>
    <definedName name="solver_lhs52" localSheetId="0" hidden="1">QuickPay!$P$27</definedName>
    <definedName name="solver_lhs53" localSheetId="0" hidden="1">QuickPay!$P$30</definedName>
    <definedName name="solver_lhs54" localSheetId="0" hidden="1">QuickPay!$P$29</definedName>
    <definedName name="solver_lhs55" localSheetId="0" hidden="1">QuickPay!$P$28</definedName>
    <definedName name="solver_lhs56" localSheetId="0" hidden="1">QuickPay!$Q$26</definedName>
    <definedName name="solver_lhs57" localSheetId="0" hidden="1">QuickPay!$Q$27</definedName>
    <definedName name="solver_lhs58" localSheetId="0" hidden="1">QuickPay!$Q$28</definedName>
    <definedName name="solver_lhs59" localSheetId="0" hidden="1">QuickPay!$Q$30</definedName>
    <definedName name="solver_lhs6" localSheetId="0" hidden="1">QuickPay!$C$26</definedName>
    <definedName name="solver_lhs60" localSheetId="0" hidden="1">QuickPay!$Q$29</definedName>
    <definedName name="solver_lhs61" localSheetId="0" hidden="1">QuickPay!$M$29</definedName>
    <definedName name="solver_lhs62" localSheetId="0" hidden="1">QuickPay!$Q$26</definedName>
    <definedName name="solver_lhs7" localSheetId="0" hidden="1">QuickPay!$D$26</definedName>
    <definedName name="solver_lhs8" localSheetId="0" hidden="1">QuickPay!$D$27</definedName>
    <definedName name="solver_lhs9" localSheetId="0" hidden="1">QuickPay!$D$28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60</definedName>
    <definedName name="solver_nwt" localSheetId="0" hidden="1">1</definedName>
    <definedName name="solver_opt" localSheetId="0" hidden="1">QuickPay!$L$25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2</definedName>
    <definedName name="solver_rel14" localSheetId="0" hidden="1">1</definedName>
    <definedName name="solver_rel15" localSheetId="0" hidden="1">2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1</definedName>
    <definedName name="solver_rel20" localSheetId="0" hidden="1">2</definedName>
    <definedName name="solver_rel21" localSheetId="0" hidden="1">1</definedName>
    <definedName name="solver_rel22" localSheetId="0" hidden="1">1</definedName>
    <definedName name="solver_rel23" localSheetId="0" hidden="1">1</definedName>
    <definedName name="solver_rel24" localSheetId="0" hidden="1">2</definedName>
    <definedName name="solver_rel25" localSheetId="0" hidden="1">1</definedName>
    <definedName name="solver_rel26" localSheetId="0" hidden="1">2</definedName>
    <definedName name="solver_rel27" localSheetId="0" hidden="1">2</definedName>
    <definedName name="solver_rel28" localSheetId="0" hidden="1">2</definedName>
    <definedName name="solver_rel29" localSheetId="0" hidden="1">2</definedName>
    <definedName name="solver_rel3" localSheetId="0" hidden="1">1</definedName>
    <definedName name="solver_rel30" localSheetId="0" hidden="1">2</definedName>
    <definedName name="solver_rel31" localSheetId="0" hidden="1">2</definedName>
    <definedName name="solver_rel32" localSheetId="0" hidden="1">4</definedName>
    <definedName name="solver_rel33" localSheetId="0" hidden="1">4</definedName>
    <definedName name="solver_rel34" localSheetId="0" hidden="1">4</definedName>
    <definedName name="solver_rel35" localSheetId="0" hidden="1">2</definedName>
    <definedName name="solver_rel36" localSheetId="0" hidden="1">4</definedName>
    <definedName name="solver_rel37" localSheetId="0" hidden="1">2</definedName>
    <definedName name="solver_rel38" localSheetId="0" hidden="1">2</definedName>
    <definedName name="solver_rel39" localSheetId="0" hidden="1">1</definedName>
    <definedName name="solver_rel4" localSheetId="0" hidden="1">1</definedName>
    <definedName name="solver_rel40" localSheetId="0" hidden="1">1</definedName>
    <definedName name="solver_rel41" localSheetId="0" hidden="1">4</definedName>
    <definedName name="solver_rel42" localSheetId="0" hidden="1">4</definedName>
    <definedName name="solver_rel43" localSheetId="0" hidden="1">2</definedName>
    <definedName name="solver_rel44" localSheetId="0" hidden="1">4</definedName>
    <definedName name="solver_rel45" localSheetId="0" hidden="1">4</definedName>
    <definedName name="solver_rel46" localSheetId="0" hidden="1">4</definedName>
    <definedName name="solver_rel47" localSheetId="0" hidden="1">2</definedName>
    <definedName name="solver_rel48" localSheetId="0" hidden="1">4</definedName>
    <definedName name="solver_rel49" localSheetId="0" hidden="1">4</definedName>
    <definedName name="solver_rel5" localSheetId="0" hidden="1">2</definedName>
    <definedName name="solver_rel50" localSheetId="0" hidden="1">4</definedName>
    <definedName name="solver_rel51" localSheetId="0" hidden="1">4</definedName>
    <definedName name="solver_rel52" localSheetId="0" hidden="1">4</definedName>
    <definedName name="solver_rel53" localSheetId="0" hidden="1">4</definedName>
    <definedName name="solver_rel54" localSheetId="0" hidden="1">2</definedName>
    <definedName name="solver_rel55" localSheetId="0" hidden="1">4</definedName>
    <definedName name="solver_rel56" localSheetId="0" hidden="1">4</definedName>
    <definedName name="solver_rel57" localSheetId="0" hidden="1">4</definedName>
    <definedName name="solver_rel58" localSheetId="0" hidden="1">4</definedName>
    <definedName name="solver_rel59" localSheetId="0" hidden="1">2</definedName>
    <definedName name="solver_rel6" localSheetId="0" hidden="1">2</definedName>
    <definedName name="solver_rel60" localSheetId="0" hidden="1">4</definedName>
    <definedName name="solver_rel61" localSheetId="0" hidden="1">4</definedName>
    <definedName name="solver_rel62" localSheetId="0" hidden="1">4</definedName>
    <definedName name="solver_rel7" localSheetId="0" hidden="1">1</definedName>
    <definedName name="solver_rel8" localSheetId="0" hidden="1">2</definedName>
    <definedName name="solver_rel9" localSheetId="0" hidden="1">1</definedName>
    <definedName name="solver_rhs1" localSheetId="0" hidden="1">QuickPay!$M$27*1000</definedName>
    <definedName name="solver_rhs10" localSheetId="0" hidden="1">QuickPay!$N$29*1000</definedName>
    <definedName name="solver_rhs11" localSheetId="0" hidden="1">QuickPay!$N$30*1000</definedName>
    <definedName name="solver_rhs12" localSheetId="0" hidden="1">QuickPay!$O$26*1000</definedName>
    <definedName name="solver_rhs13" localSheetId="0" hidden="1">0</definedName>
    <definedName name="solver_rhs14" localSheetId="0" hidden="1">QuickPay!$O$27*1000</definedName>
    <definedName name="solver_rhs15" localSheetId="0" hidden="1">QuickPay!$D$32</definedName>
    <definedName name="solver_rhs16" localSheetId="0" hidden="1">QuickPay!$P$26*1000</definedName>
    <definedName name="solver_rhs17" localSheetId="0" hidden="1">QuickPay!$P$30*1000</definedName>
    <definedName name="solver_rhs18" localSheetId="0" hidden="1">QuickPay!$P$28*1000</definedName>
    <definedName name="solver_rhs19" localSheetId="0" hidden="1">QuickPay!$O$30*1000</definedName>
    <definedName name="solver_rhs2" localSheetId="0" hidden="1">QuickPay!$M$28*1000</definedName>
    <definedName name="solver_rhs20" localSheetId="0" hidden="1">QuickPay!$F$32</definedName>
    <definedName name="solver_rhs21" localSheetId="0" hidden="1">QuickPay!$Q$27*1000</definedName>
    <definedName name="solver_rhs22" localSheetId="0" hidden="1">QuickPay!$Q$28*1000</definedName>
    <definedName name="solver_rhs23" localSheetId="0" hidden="1">QuickPay!$Q$26*1000</definedName>
    <definedName name="solver_rhs24" localSheetId="0" hidden="1">QuickPay!$I$30</definedName>
    <definedName name="solver_rhs25" localSheetId="0" hidden="1">QuickPay!$Q$29*1000</definedName>
    <definedName name="solver_rhs26" localSheetId="0" hidden="1">QuickPay!$G$32</definedName>
    <definedName name="solver_rhs27" localSheetId="0" hidden="1">QuickPay!$I$28</definedName>
    <definedName name="solver_rhs28" localSheetId="0" hidden="1">QuickPay!$I$26</definedName>
    <definedName name="solver_rhs29" localSheetId="0" hidden="1">QuickPay!$I$29</definedName>
    <definedName name="solver_rhs3" localSheetId="0" hidden="1">QuickPay!$M$29*1000</definedName>
    <definedName name="solver_rhs30" localSheetId="0" hidden="1">QuickPay!$I$27</definedName>
    <definedName name="solver_rhs31" localSheetId="0" hidden="1">0</definedName>
    <definedName name="solver_rhs32" localSheetId="0" hidden="1">整数</definedName>
    <definedName name="solver_rhs33" localSheetId="0" hidden="1">整数</definedName>
    <definedName name="solver_rhs34" localSheetId="0" hidden="1">整数</definedName>
    <definedName name="solver_rhs35" localSheetId="0" hidden="1">0</definedName>
    <definedName name="solver_rhs36" localSheetId="0" hidden="1">整数</definedName>
    <definedName name="solver_rhs37" localSheetId="0" hidden="1">0</definedName>
    <definedName name="solver_rhs38" localSheetId="0" hidden="1">QuickPay!$E$32</definedName>
    <definedName name="solver_rhs39" localSheetId="0" hidden="1">QuickPay!$P$27*1000</definedName>
    <definedName name="solver_rhs4" localSheetId="0" hidden="1">QuickPay!$M$30*1000</definedName>
    <definedName name="solver_rhs40" localSheetId="0" hidden="1">QuickPay!$O$29*1000</definedName>
    <definedName name="solver_rhs41" localSheetId="0" hidden="1">整数</definedName>
    <definedName name="solver_rhs42" localSheetId="0" hidden="1">整数</definedName>
    <definedName name="solver_rhs43" localSheetId="0" hidden="1">0</definedName>
    <definedName name="solver_rhs44" localSheetId="0" hidden="1">整数</definedName>
    <definedName name="solver_rhs45" localSheetId="0" hidden="1">整数</definedName>
    <definedName name="solver_rhs46" localSheetId="0" hidden="1">整数</definedName>
    <definedName name="solver_rhs47" localSheetId="0" hidden="1">0</definedName>
    <definedName name="solver_rhs48" localSheetId="0" hidden="1">整数</definedName>
    <definedName name="solver_rhs49" localSheetId="0" hidden="1">整数</definedName>
    <definedName name="solver_rhs5" localSheetId="0" hidden="1">QuickPay!$C$32</definedName>
    <definedName name="solver_rhs50" localSheetId="0" hidden="1">整数</definedName>
    <definedName name="solver_rhs51" localSheetId="0" hidden="1">整数</definedName>
    <definedName name="solver_rhs52" localSheetId="0" hidden="1">整数</definedName>
    <definedName name="solver_rhs53" localSheetId="0" hidden="1">整数</definedName>
    <definedName name="solver_rhs54" localSheetId="0" hidden="1">0</definedName>
    <definedName name="solver_rhs55" localSheetId="0" hidden="1">整数</definedName>
    <definedName name="solver_rhs56" localSheetId="0" hidden="1">整数</definedName>
    <definedName name="solver_rhs57" localSheetId="0" hidden="1">整数</definedName>
    <definedName name="solver_rhs58" localSheetId="0" hidden="1">整数</definedName>
    <definedName name="solver_rhs59" localSheetId="0" hidden="1">0</definedName>
    <definedName name="solver_rhs6" localSheetId="0" hidden="1">0</definedName>
    <definedName name="solver_rhs60" localSheetId="0" hidden="1">整数</definedName>
    <definedName name="solver_rhs61" localSheetId="0" hidden="1">整数</definedName>
    <definedName name="solver_rhs62" localSheetId="0" hidden="1">整数</definedName>
    <definedName name="solver_rhs7" localSheetId="0" hidden="1">QuickPay!$N$26*1000</definedName>
    <definedName name="solver_rhs8" localSheetId="0" hidden="1">0</definedName>
    <definedName name="solver_rhs9" localSheetId="0" hidden="1">QuickPay!$N$28*1000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M4" i="4" l="1"/>
  <c r="N4" i="4"/>
  <c r="O4" i="4"/>
  <c r="P4" i="4"/>
  <c r="Q4" i="4"/>
  <c r="M5" i="4"/>
  <c r="N5" i="4"/>
  <c r="O5" i="4"/>
  <c r="P5" i="4"/>
  <c r="Q5" i="4"/>
  <c r="M6" i="4"/>
  <c r="N6" i="4"/>
  <c r="O6" i="4"/>
  <c r="P6" i="4"/>
  <c r="Q6" i="4"/>
  <c r="M7" i="4"/>
  <c r="N7" i="4"/>
  <c r="O7" i="4"/>
  <c r="P7" i="4"/>
  <c r="Q7" i="4"/>
  <c r="M8" i="4"/>
  <c r="N8" i="4"/>
  <c r="O8" i="4"/>
  <c r="P8" i="4"/>
  <c r="Q8" i="4"/>
  <c r="M9" i="4"/>
  <c r="N9" i="4"/>
  <c r="O9" i="4"/>
  <c r="P9" i="4"/>
  <c r="Q9" i="4"/>
  <c r="M10" i="4"/>
  <c r="N10" i="4"/>
  <c r="O10" i="4"/>
  <c r="P10" i="4"/>
  <c r="Q10" i="4"/>
  <c r="M11" i="4"/>
  <c r="N11" i="4"/>
  <c r="O11" i="4"/>
  <c r="P11" i="4"/>
  <c r="Q11" i="4"/>
  <c r="M12" i="4"/>
  <c r="N12" i="4"/>
  <c r="O12" i="4"/>
  <c r="P12" i="4"/>
  <c r="Q12" i="4"/>
  <c r="M13" i="4"/>
  <c r="N13" i="4"/>
  <c r="O13" i="4"/>
  <c r="P13" i="4"/>
  <c r="Q13" i="4"/>
  <c r="M14" i="4"/>
  <c r="N14" i="4"/>
  <c r="O14" i="4"/>
  <c r="P14" i="4"/>
  <c r="Q14" i="4"/>
  <c r="M15" i="4"/>
  <c r="N15" i="4"/>
  <c r="O15" i="4"/>
  <c r="P15" i="4"/>
  <c r="Q15" i="4"/>
  <c r="M16" i="4"/>
  <c r="N16" i="4"/>
  <c r="O16" i="4"/>
  <c r="P16" i="4"/>
  <c r="Q16" i="4"/>
  <c r="M17" i="4"/>
  <c r="N17" i="4"/>
  <c r="O17" i="4"/>
  <c r="P17" i="4"/>
  <c r="Q17" i="4"/>
  <c r="M18" i="4"/>
  <c r="N18" i="4"/>
  <c r="O18" i="4"/>
  <c r="P18" i="4"/>
  <c r="Q18" i="4"/>
  <c r="M19" i="4"/>
  <c r="N19" i="4"/>
  <c r="O19" i="4"/>
  <c r="P19" i="4"/>
  <c r="Q19" i="4"/>
  <c r="M20" i="4"/>
  <c r="N20" i="4"/>
  <c r="O20" i="4"/>
  <c r="P20" i="4"/>
  <c r="Q20" i="4"/>
  <c r="M21" i="4"/>
  <c r="N21" i="4"/>
  <c r="O21" i="4"/>
  <c r="P21" i="4"/>
  <c r="Q21" i="4"/>
  <c r="M22" i="4"/>
  <c r="N22" i="4"/>
  <c r="O22" i="4"/>
  <c r="P22" i="4"/>
  <c r="Q22" i="4"/>
  <c r="N3" i="4"/>
  <c r="O3" i="4"/>
  <c r="P3" i="4"/>
  <c r="Q3" i="4"/>
  <c r="M3" i="4"/>
  <c r="B26" i="4" l="1" a="1"/>
  <c r="B27" i="4" s="1"/>
  <c r="D25" i="4"/>
  <c r="E25" i="4"/>
  <c r="F25" i="4"/>
  <c r="G25" i="4"/>
  <c r="C25" i="4"/>
  <c r="N2" i="4"/>
  <c r="O2" i="4"/>
  <c r="P2" i="4"/>
  <c r="Q2" i="4"/>
  <c r="M2" i="4"/>
  <c r="I2" i="4"/>
  <c r="J2" i="4"/>
  <c r="K2" i="4"/>
  <c r="L2" i="4"/>
  <c r="H2" i="4"/>
  <c r="B26" i="4" l="1"/>
  <c r="B30" i="4"/>
  <c r="B29" i="4"/>
  <c r="B28" i="4"/>
  <c r="H27" i="4"/>
  <c r="H28" i="4"/>
  <c r="H29" i="4"/>
  <c r="H30" i="4"/>
  <c r="H26" i="4"/>
  <c r="D31" i="4"/>
  <c r="E31" i="4"/>
  <c r="F31" i="4"/>
  <c r="G31" i="4"/>
  <c r="C31" i="4"/>
  <c r="L25" i="4"/>
  <c r="D24" i="4" l="1"/>
  <c r="D32" i="4" s="1"/>
  <c r="C24" i="4"/>
  <c r="G24" i="4"/>
  <c r="E24" i="4"/>
  <c r="F24" i="4"/>
  <c r="E32" i="4" l="1"/>
  <c r="G32" i="4"/>
  <c r="C32" i="4"/>
  <c r="F32" i="4" l="1"/>
  <c r="J26" i="4" a="1"/>
  <c r="J26" i="4" l="1"/>
  <c r="I26" i="4" s="1"/>
  <c r="J28" i="4"/>
  <c r="I28" i="4" s="1"/>
  <c r="J30" i="4"/>
  <c r="I30" i="4" s="1"/>
  <c r="J27" i="4"/>
  <c r="I27" i="4" s="1"/>
  <c r="J29" i="4"/>
  <c r="I29" i="4" s="1"/>
</calcChain>
</file>

<file path=xl/sharedStrings.xml><?xml version="1.0" encoding="utf-8"?>
<sst xmlns="http://schemas.openxmlformats.org/spreadsheetml/2006/main" count="29" uniqueCount="29">
  <si>
    <t>Item</t>
  </si>
  <si>
    <t>Who Pay the Bill?</t>
  </si>
  <si>
    <t>Payment Distribution</t>
  </si>
  <si>
    <t>Calculation</t>
  </si>
  <si>
    <t>DueAmount</t>
  </si>
  <si>
    <t>TotalPay</t>
  </si>
  <si>
    <t>TotalReceive</t>
  </si>
  <si>
    <t>Date</t>
    <phoneticPr fontId="4" type="noConversion"/>
  </si>
  <si>
    <t>4P</t>
    <phoneticPr fontId="4" type="noConversion"/>
  </si>
  <si>
    <t>5P</t>
    <phoneticPr fontId="4" type="noConversion"/>
  </si>
  <si>
    <t>Pay To</t>
    <phoneticPr fontId="4" type="noConversion"/>
  </si>
  <si>
    <t>1P</t>
    <phoneticPr fontId="4" type="noConversion"/>
  </si>
  <si>
    <t>2P</t>
    <phoneticPr fontId="4" type="noConversion"/>
  </si>
  <si>
    <t>3P</t>
    <phoneticPr fontId="4" type="noConversion"/>
  </si>
  <si>
    <t>8/8/2012</t>
    <phoneticPr fontId="4" type="noConversion"/>
  </si>
  <si>
    <t>8/12/2012</t>
    <phoneticPr fontId="4" type="noConversion"/>
  </si>
  <si>
    <t>8/18/2012</t>
    <phoneticPr fontId="4" type="noConversion"/>
  </si>
  <si>
    <t>8/23/2012</t>
    <phoneticPr fontId="4" type="noConversion"/>
  </si>
  <si>
    <t>***</t>
    <phoneticPr fontId="4" type="noConversion"/>
  </si>
  <si>
    <t>###</t>
    <phoneticPr fontId="4" type="noConversion"/>
  </si>
  <si>
    <t>&amp;&amp;&amp;</t>
    <phoneticPr fontId="4" type="noConversion"/>
  </si>
  <si>
    <t>%%%</t>
    <phoneticPr fontId="4" type="noConversion"/>
  </si>
  <si>
    <t>9/11/2012</t>
    <phoneticPr fontId="4" type="noConversion"/>
  </si>
  <si>
    <t>$$$</t>
    <phoneticPr fontId="4" type="noConversion"/>
  </si>
  <si>
    <t>9/11/2013</t>
  </si>
  <si>
    <t>sdfghjk</t>
    <phoneticPr fontId="4" type="noConversion"/>
  </si>
  <si>
    <t>To Get Optimized Payment Ctrl+Shift+P</t>
    <phoneticPr fontId="4" type="noConversion"/>
  </si>
  <si>
    <t>8/3/2014</t>
    <phoneticPr fontId="4" type="noConversion"/>
  </si>
  <si>
    <t>awoeiru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</si>
</sst>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_(&quot;$&quot;* #,##0.00_);_(&quot;$&quot;* \(#,##0.00\);_(&quot;$&quot;* &quot;-&quot;??_);_(@_)"/>
    <numFmt numFmtId="177" formatCode="0_);[Red]\(0\)"/>
    <numFmt numFmtId="178" formatCode="0.00_);[Red]\(0.00\)"/>
  </numFmts>
  <fonts count="8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b/>
      <u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u/>
      <sz val="11"/>
      <color theme="1"/>
      <name val="宋体"/>
      <family val="3"/>
      <charset val="134"/>
      <scheme val="minor"/>
    </font>
    <font>
      <sz val="11"/>
      <name val="宋体"/>
      <family val="2"/>
      <scheme val="minor"/>
    </font>
    <font>
      <sz val="9"/>
      <color rgb="FFFF0000"/>
      <name val="宋体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76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  <protection locked="0"/>
    </xf>
    <xf numFmtId="176" fontId="0" fillId="3" borderId="0" xfId="1" applyFont="1" applyFill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176" fontId="0" fillId="0" borderId="1" xfId="1" applyFont="1" applyBorder="1" applyAlignment="1" applyProtection="1">
      <alignment horizontal="center" vertical="center"/>
    </xf>
    <xf numFmtId="176" fontId="0" fillId="0" borderId="1" xfId="0" applyNumberForma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40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177" fontId="0" fillId="0" borderId="0" xfId="0" applyNumberFormat="1" applyAlignment="1" applyProtection="1">
      <alignment horizontal="center" vertical="center"/>
    </xf>
    <xf numFmtId="38" fontId="0" fillId="0" borderId="0" xfId="0" applyNumberFormat="1" applyAlignment="1" applyProtection="1">
      <alignment horizontal="center" vertical="center"/>
    </xf>
    <xf numFmtId="178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4" fontId="0" fillId="2" borderId="0" xfId="0" applyNumberFormat="1" applyFill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right" vertical="center" textRotation="45"/>
    </xf>
    <xf numFmtId="0" fontId="0" fillId="0" borderId="0" xfId="0" applyAlignment="1" applyProtection="1">
      <alignment horizontal="center" vertical="center"/>
    </xf>
    <xf numFmtId="176" fontId="6" fillId="3" borderId="0" xfId="1" applyFont="1" applyFill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</xf>
    <xf numFmtId="178" fontId="0" fillId="0" borderId="0" xfId="0" applyNumberFormat="1" applyFill="1" applyBorder="1" applyAlignment="1" applyProtection="1">
      <alignment horizontal="center" vertical="center"/>
    </xf>
    <xf numFmtId="178" fontId="0" fillId="0" borderId="3" xfId="0" applyNumberFormat="1" applyFill="1" applyBorder="1" applyAlignment="1" applyProtection="1">
      <alignment horizontal="center" vertical="center"/>
    </xf>
    <xf numFmtId="178" fontId="0" fillId="0" borderId="4" xfId="0" applyNumberFormat="1" applyFill="1" applyBorder="1" applyAlignment="1" applyProtection="1">
      <alignment horizontal="center" vertical="center"/>
    </xf>
    <xf numFmtId="178" fontId="0" fillId="0" borderId="5" xfId="0" applyNumberFormat="1" applyFill="1" applyBorder="1" applyAlignment="1" applyProtection="1">
      <alignment horizontal="center" vertical="center"/>
    </xf>
    <xf numFmtId="178" fontId="0" fillId="0" borderId="6" xfId="0" applyNumberFormat="1" applyFill="1" applyBorder="1" applyAlignment="1" applyProtection="1">
      <alignment horizontal="center" vertical="center"/>
    </xf>
    <xf numFmtId="178" fontId="0" fillId="0" borderId="7" xfId="0" applyNumberFormat="1" applyFill="1" applyBorder="1" applyAlignment="1" applyProtection="1">
      <alignment horizontal="center" vertical="center"/>
    </xf>
    <xf numFmtId="178" fontId="0" fillId="0" borderId="8" xfId="0" applyNumberFormat="1" applyFill="1" applyBorder="1" applyAlignment="1" applyProtection="1">
      <alignment horizontal="center" vertical="center"/>
    </xf>
    <xf numFmtId="178" fontId="0" fillId="0" borderId="9" xfId="0" applyNumberFormat="1" applyFill="1" applyBorder="1" applyAlignment="1" applyProtection="1">
      <alignment horizontal="center" vertical="center"/>
    </xf>
    <xf numFmtId="178" fontId="0" fillId="0" borderId="10" xfId="0" applyNumberFormat="1" applyFill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7" fillId="6" borderId="0" xfId="0" applyFont="1" applyFill="1" applyAlignment="1" applyProtection="1">
      <alignment horizontal="center" vertical="center" wrapText="1"/>
    </xf>
  </cellXfs>
  <cellStyles count="2">
    <cellStyle name="常规" xfId="0" builtinId="0"/>
    <cellStyle name="货币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2"/>
  <sheetViews>
    <sheetView tabSelected="1" workbookViewId="0">
      <selection activeCell="F10" sqref="F10"/>
    </sheetView>
  </sheetViews>
  <sheetFormatPr defaultColWidth="8.875" defaultRowHeight="13.5" x14ac:dyDescent="0.15"/>
  <cols>
    <col min="1" max="1" width="10.375" style="15" customWidth="1"/>
    <col min="2" max="2" width="21.625" style="1" bestFit="1" customWidth="1"/>
    <col min="3" max="7" width="10" style="1" customWidth="1"/>
    <col min="8" max="12" width="5.125" style="1" customWidth="1"/>
    <col min="13" max="17" width="10" style="1" customWidth="1"/>
    <col min="18" max="16384" width="8.875" style="1"/>
  </cols>
  <sheetData>
    <row r="1" spans="1:17" x14ac:dyDescent="0.15">
      <c r="A1" s="31" t="s">
        <v>7</v>
      </c>
      <c r="B1" s="31" t="s">
        <v>0</v>
      </c>
      <c r="C1" s="31" t="s">
        <v>1</v>
      </c>
      <c r="D1" s="31"/>
      <c r="E1" s="31"/>
      <c r="F1" s="31"/>
      <c r="G1" s="31"/>
      <c r="H1" s="31" t="s">
        <v>2</v>
      </c>
      <c r="I1" s="31"/>
      <c r="J1" s="31"/>
      <c r="K1" s="31"/>
      <c r="L1" s="31"/>
      <c r="M1" s="31" t="s">
        <v>3</v>
      </c>
      <c r="N1" s="31"/>
      <c r="O1" s="31"/>
      <c r="P1" s="31"/>
      <c r="Q1" s="31"/>
    </row>
    <row r="2" spans="1:17" x14ac:dyDescent="0.15">
      <c r="A2" s="31"/>
      <c r="B2" s="31"/>
      <c r="C2" s="21" t="s">
        <v>11</v>
      </c>
      <c r="D2" s="21" t="s">
        <v>12</v>
      </c>
      <c r="E2" s="21" t="s">
        <v>13</v>
      </c>
      <c r="F2" s="21" t="s">
        <v>8</v>
      </c>
      <c r="G2" s="21" t="s">
        <v>9</v>
      </c>
      <c r="H2" s="1" t="str">
        <f>C2</f>
        <v>1P</v>
      </c>
      <c r="I2" s="15" t="str">
        <f t="shared" ref="I2:L2" si="0">D2</f>
        <v>2P</v>
      </c>
      <c r="J2" s="15" t="str">
        <f t="shared" si="0"/>
        <v>3P</v>
      </c>
      <c r="K2" s="15" t="str">
        <f t="shared" si="0"/>
        <v>4P</v>
      </c>
      <c r="L2" s="15" t="str">
        <f t="shared" si="0"/>
        <v>5P</v>
      </c>
      <c r="M2" s="1" t="str">
        <f>C2</f>
        <v>1P</v>
      </c>
      <c r="N2" s="15" t="str">
        <f t="shared" ref="N2:Q2" si="1">D2</f>
        <v>2P</v>
      </c>
      <c r="O2" s="15" t="str">
        <f t="shared" si="1"/>
        <v>3P</v>
      </c>
      <c r="P2" s="15" t="str">
        <f t="shared" si="1"/>
        <v>4P</v>
      </c>
      <c r="Q2" s="15" t="str">
        <f t="shared" si="1"/>
        <v>5P</v>
      </c>
    </row>
    <row r="3" spans="1:17" x14ac:dyDescent="0.15">
      <c r="A3" s="17" t="s">
        <v>14</v>
      </c>
      <c r="B3" s="2" t="s">
        <v>18</v>
      </c>
      <c r="C3" s="3"/>
      <c r="D3" s="3"/>
      <c r="E3" s="3">
        <v>50</v>
      </c>
      <c r="F3" s="3"/>
      <c r="G3" s="3"/>
      <c r="H3" s="4">
        <v>1</v>
      </c>
      <c r="I3" s="4">
        <v>1</v>
      </c>
      <c r="J3" s="4">
        <v>2</v>
      </c>
      <c r="K3" s="4">
        <v>1</v>
      </c>
      <c r="L3" s="4"/>
      <c r="M3" s="5">
        <f>IF(AND(ISBLANK($H3),ISBLANK($I3),ISBLANK($J3),ISBLANK($K3),ISBLANK($L3)),"",H3/SUM($H3:$L3)*SUM($C3:$G3))</f>
        <v>10</v>
      </c>
      <c r="N3" s="5">
        <f t="shared" ref="N3:Q3" si="2">IF(AND(ISBLANK($H3),ISBLANK($I3),ISBLANK($J3),ISBLANK($K3),ISBLANK($L3)),"",I3/SUM($H3:$L3)*SUM($C3:$G3))</f>
        <v>10</v>
      </c>
      <c r="O3" s="5">
        <f t="shared" si="2"/>
        <v>20</v>
      </c>
      <c r="P3" s="5">
        <f t="shared" si="2"/>
        <v>10</v>
      </c>
      <c r="Q3" s="5">
        <f t="shared" si="2"/>
        <v>0</v>
      </c>
    </row>
    <row r="4" spans="1:17" s="16" customFormat="1" x14ac:dyDescent="0.15">
      <c r="A4" s="17" t="s">
        <v>15</v>
      </c>
      <c r="B4" s="2" t="s">
        <v>19</v>
      </c>
      <c r="C4" s="3"/>
      <c r="D4" s="3">
        <v>30</v>
      </c>
      <c r="E4" s="3"/>
      <c r="F4" s="3"/>
      <c r="G4" s="3"/>
      <c r="H4" s="4"/>
      <c r="I4" s="4"/>
      <c r="J4" s="4">
        <v>1</v>
      </c>
      <c r="K4" s="4">
        <v>1</v>
      </c>
      <c r="L4" s="4">
        <v>1</v>
      </c>
      <c r="M4" s="5">
        <f t="shared" ref="M4:M22" si="3">IF(AND(ISBLANK($H4),ISBLANK($I4),ISBLANK($J4),ISBLANK($K4),ISBLANK($L4)),"",H4/SUM($H4:$L4)*SUM($C4:$G4))</f>
        <v>0</v>
      </c>
      <c r="N4" s="5">
        <f t="shared" ref="N4:N22" si="4">IF(AND(ISBLANK($H4),ISBLANK($I4),ISBLANK($J4),ISBLANK($K4),ISBLANK($L4)),"",I4/SUM($H4:$L4)*SUM($C4:$G4))</f>
        <v>0</v>
      </c>
      <c r="O4" s="5">
        <f t="shared" ref="O4:O22" si="5">IF(AND(ISBLANK($H4),ISBLANK($I4),ISBLANK($J4),ISBLANK($K4),ISBLANK($L4)),"",J4/SUM($H4:$L4)*SUM($C4:$G4))</f>
        <v>10</v>
      </c>
      <c r="P4" s="5">
        <f t="shared" ref="P4:P22" si="6">IF(AND(ISBLANK($H4),ISBLANK($I4),ISBLANK($J4),ISBLANK($K4),ISBLANK($L4)),"",K4/SUM($H4:$L4)*SUM($C4:$G4))</f>
        <v>10</v>
      </c>
      <c r="Q4" s="5">
        <f t="shared" ref="Q4:Q22" si="7">IF(AND(ISBLANK($H4),ISBLANK($I4),ISBLANK($J4),ISBLANK($K4),ISBLANK($L4)),"",L4/SUM($H4:$L4)*SUM($C4:$G4))</f>
        <v>10</v>
      </c>
    </row>
    <row r="5" spans="1:17" s="15" customFormat="1" x14ac:dyDescent="0.15">
      <c r="A5" s="17" t="s">
        <v>16</v>
      </c>
      <c r="B5" s="2" t="s">
        <v>20</v>
      </c>
      <c r="C5" s="3">
        <v>100</v>
      </c>
      <c r="D5" s="3"/>
      <c r="E5" s="3"/>
      <c r="F5" s="3"/>
      <c r="G5" s="3"/>
      <c r="H5" s="4">
        <v>10</v>
      </c>
      <c r="I5" s="4">
        <v>20</v>
      </c>
      <c r="J5" s="4">
        <v>30</v>
      </c>
      <c r="K5" s="4">
        <v>30</v>
      </c>
      <c r="L5" s="4">
        <v>10</v>
      </c>
      <c r="M5" s="5">
        <f t="shared" si="3"/>
        <v>10</v>
      </c>
      <c r="N5" s="5">
        <f t="shared" si="4"/>
        <v>20</v>
      </c>
      <c r="O5" s="5">
        <f t="shared" si="5"/>
        <v>30</v>
      </c>
      <c r="P5" s="5">
        <f t="shared" si="6"/>
        <v>30</v>
      </c>
      <c r="Q5" s="5">
        <f t="shared" si="7"/>
        <v>10</v>
      </c>
    </row>
    <row r="6" spans="1:17" s="15" customFormat="1" x14ac:dyDescent="0.15">
      <c r="A6" s="17" t="s">
        <v>17</v>
      </c>
      <c r="B6" s="2" t="s">
        <v>21</v>
      </c>
      <c r="C6" s="3"/>
      <c r="D6" s="3"/>
      <c r="E6" s="3">
        <v>20</v>
      </c>
      <c r="F6" s="3">
        <v>20</v>
      </c>
      <c r="G6" s="3"/>
      <c r="H6" s="4">
        <v>1</v>
      </c>
      <c r="I6" s="4">
        <v>1</v>
      </c>
      <c r="J6" s="4">
        <v>1</v>
      </c>
      <c r="K6" s="4">
        <v>1</v>
      </c>
      <c r="L6" s="4"/>
      <c r="M6" s="5">
        <f t="shared" si="3"/>
        <v>10</v>
      </c>
      <c r="N6" s="5">
        <f t="shared" si="4"/>
        <v>10</v>
      </c>
      <c r="O6" s="5">
        <f t="shared" si="5"/>
        <v>10</v>
      </c>
      <c r="P6" s="5">
        <f t="shared" si="6"/>
        <v>10</v>
      </c>
      <c r="Q6" s="5">
        <f t="shared" si="7"/>
        <v>0</v>
      </c>
    </row>
    <row r="7" spans="1:17" s="15" customFormat="1" x14ac:dyDescent="0.15">
      <c r="A7" s="17" t="s">
        <v>22</v>
      </c>
      <c r="B7" s="2" t="s">
        <v>23</v>
      </c>
      <c r="C7" s="3"/>
      <c r="D7" s="3"/>
      <c r="E7" s="3"/>
      <c r="F7" s="3"/>
      <c r="G7" s="3">
        <v>20</v>
      </c>
      <c r="H7" s="4">
        <v>1</v>
      </c>
      <c r="I7" s="4"/>
      <c r="J7" s="4"/>
      <c r="K7" s="4"/>
      <c r="L7" s="4"/>
      <c r="M7" s="5">
        <f t="shared" si="3"/>
        <v>20</v>
      </c>
      <c r="N7" s="5">
        <f t="shared" si="4"/>
        <v>0</v>
      </c>
      <c r="O7" s="5">
        <f t="shared" si="5"/>
        <v>0</v>
      </c>
      <c r="P7" s="5">
        <f t="shared" si="6"/>
        <v>0</v>
      </c>
      <c r="Q7" s="5">
        <f t="shared" si="7"/>
        <v>0</v>
      </c>
    </row>
    <row r="8" spans="1:17" s="15" customFormat="1" x14ac:dyDescent="0.15">
      <c r="A8" s="17" t="s">
        <v>24</v>
      </c>
      <c r="B8" s="2" t="s">
        <v>25</v>
      </c>
      <c r="C8" s="3"/>
      <c r="D8" s="3"/>
      <c r="E8" s="3">
        <v>19</v>
      </c>
      <c r="F8" s="3"/>
      <c r="G8" s="3"/>
      <c r="H8" s="4"/>
      <c r="I8" s="4"/>
      <c r="J8" s="4">
        <v>1</v>
      </c>
      <c r="K8" s="4">
        <v>1</v>
      </c>
      <c r="L8" s="4"/>
      <c r="M8" s="5">
        <f>IF(AND(ISBLANK($H8),ISBLANK($I8),ISBLANK($J8),ISBLANK($K8),ISBLANK($L8)),"",H8/SUM($H8:$L8)*SUM($C8:$G8))</f>
        <v>0</v>
      </c>
      <c r="N8" s="5">
        <f>IF(AND(ISBLANK($H8),ISBLANK($I8),ISBLANK($J8),ISBLANK($K8),ISBLANK($L8)),"",I8/SUM($H8:$L8)*SUM($C8:$G8))</f>
        <v>0</v>
      </c>
      <c r="O8" s="5">
        <f>IF(AND(ISBLANK($H8),ISBLANK($I8),ISBLANK($J8),ISBLANK($K8),ISBLANK($L8)),"",J8/SUM($H8:$L8)*SUM($C8:$G8))</f>
        <v>9.5</v>
      </c>
      <c r="P8" s="5">
        <f>IF(AND(ISBLANK($H8),ISBLANK($I8),ISBLANK($J8),ISBLANK($K8),ISBLANK($L8)),"",K8/SUM($H8:$L8)*SUM($C8:$G8))</f>
        <v>9.5</v>
      </c>
      <c r="Q8" s="5">
        <f>IF(AND(ISBLANK($H8),ISBLANK($I8),ISBLANK($J8),ISBLANK($K8),ISBLANK($L8)),"",L8/SUM($H8:$L8)*SUM($C8:$G8))</f>
        <v>0</v>
      </c>
    </row>
    <row r="9" spans="1:17" s="15" customFormat="1" x14ac:dyDescent="0.15">
      <c r="A9" s="17" t="s">
        <v>27</v>
      </c>
      <c r="B9" s="2" t="s">
        <v>28</v>
      </c>
      <c r="C9" s="3"/>
      <c r="D9" s="3"/>
      <c r="E9" s="3"/>
      <c r="F9" s="3">
        <v>10</v>
      </c>
      <c r="G9" s="3"/>
      <c r="H9" s="4">
        <v>1</v>
      </c>
      <c r="I9" s="4"/>
      <c r="J9" s="4">
        <v>1</v>
      </c>
      <c r="K9" s="4">
        <v>1</v>
      </c>
      <c r="L9" s="4">
        <v>1</v>
      </c>
      <c r="M9" s="5">
        <f t="shared" si="3"/>
        <v>2.5</v>
      </c>
      <c r="N9" s="5">
        <f t="shared" si="4"/>
        <v>0</v>
      </c>
      <c r="O9" s="5">
        <f t="shared" si="5"/>
        <v>2.5</v>
      </c>
      <c r="P9" s="5">
        <f t="shared" si="6"/>
        <v>2.5</v>
      </c>
      <c r="Q9" s="5">
        <f t="shared" si="7"/>
        <v>2.5</v>
      </c>
    </row>
    <row r="10" spans="1:17" s="15" customFormat="1" x14ac:dyDescent="0.15">
      <c r="A10" s="17"/>
      <c r="B10" s="2"/>
      <c r="C10" s="3"/>
      <c r="D10" s="3"/>
      <c r="E10" s="3"/>
      <c r="F10" s="3"/>
      <c r="G10" s="3"/>
      <c r="H10" s="4"/>
      <c r="I10" s="4"/>
      <c r="J10" s="4"/>
      <c r="K10" s="4"/>
      <c r="L10" s="4"/>
      <c r="M10" s="5" t="str">
        <f t="shared" si="3"/>
        <v/>
      </c>
      <c r="N10" s="5" t="str">
        <f t="shared" si="4"/>
        <v/>
      </c>
      <c r="O10" s="5" t="str">
        <f t="shared" si="5"/>
        <v/>
      </c>
      <c r="P10" s="5" t="str">
        <f t="shared" si="6"/>
        <v/>
      </c>
      <c r="Q10" s="5" t="str">
        <f t="shared" si="7"/>
        <v/>
      </c>
    </row>
    <row r="11" spans="1:17" s="15" customFormat="1" x14ac:dyDescent="0.15">
      <c r="A11" s="17"/>
      <c r="B11" s="2"/>
      <c r="C11" s="3"/>
      <c r="D11" s="3"/>
      <c r="E11" s="3"/>
      <c r="F11" s="3"/>
      <c r="G11" s="3"/>
      <c r="H11" s="4"/>
      <c r="I11" s="4"/>
      <c r="J11" s="4"/>
      <c r="K11" s="4"/>
      <c r="L11" s="4"/>
      <c r="M11" s="5" t="str">
        <f t="shared" si="3"/>
        <v/>
      </c>
      <c r="N11" s="5" t="str">
        <f t="shared" si="4"/>
        <v/>
      </c>
      <c r="O11" s="5" t="str">
        <f t="shared" si="5"/>
        <v/>
      </c>
      <c r="P11" s="5" t="str">
        <f t="shared" si="6"/>
        <v/>
      </c>
      <c r="Q11" s="5" t="str">
        <f t="shared" si="7"/>
        <v/>
      </c>
    </row>
    <row r="12" spans="1:17" s="15" customFormat="1" x14ac:dyDescent="0.15">
      <c r="A12" s="17"/>
      <c r="B12" s="2"/>
      <c r="C12" s="3"/>
      <c r="D12" s="3"/>
      <c r="E12" s="3"/>
      <c r="F12" s="3"/>
      <c r="G12" s="3"/>
      <c r="H12" s="4"/>
      <c r="I12" s="4"/>
      <c r="J12" s="4"/>
      <c r="K12" s="4"/>
      <c r="L12" s="4"/>
      <c r="M12" s="5" t="str">
        <f t="shared" si="3"/>
        <v/>
      </c>
      <c r="N12" s="5" t="str">
        <f t="shared" si="4"/>
        <v/>
      </c>
      <c r="O12" s="5" t="str">
        <f t="shared" si="5"/>
        <v/>
      </c>
      <c r="P12" s="5" t="str">
        <f t="shared" si="6"/>
        <v/>
      </c>
      <c r="Q12" s="5" t="str">
        <f t="shared" si="7"/>
        <v/>
      </c>
    </row>
    <row r="13" spans="1:17" s="15" customFormat="1" x14ac:dyDescent="0.15">
      <c r="A13" s="17"/>
      <c r="B13" s="2"/>
      <c r="C13" s="3"/>
      <c r="D13" s="3"/>
      <c r="E13" s="3"/>
      <c r="F13" s="3"/>
      <c r="G13" s="3"/>
      <c r="H13" s="4"/>
      <c r="I13" s="4"/>
      <c r="J13" s="4"/>
      <c r="K13" s="4"/>
      <c r="L13" s="4"/>
      <c r="M13" s="5" t="str">
        <f t="shared" si="3"/>
        <v/>
      </c>
      <c r="N13" s="5" t="str">
        <f t="shared" si="4"/>
        <v/>
      </c>
      <c r="O13" s="5" t="str">
        <f t="shared" si="5"/>
        <v/>
      </c>
      <c r="P13" s="5" t="str">
        <f t="shared" si="6"/>
        <v/>
      </c>
      <c r="Q13" s="5" t="str">
        <f t="shared" si="7"/>
        <v/>
      </c>
    </row>
    <row r="14" spans="1:17" s="15" customFormat="1" x14ac:dyDescent="0.15">
      <c r="A14" s="17"/>
      <c r="B14" s="2"/>
      <c r="C14" s="3"/>
      <c r="D14" s="3"/>
      <c r="E14" s="3"/>
      <c r="F14" s="3"/>
      <c r="G14" s="3"/>
      <c r="H14" s="4"/>
      <c r="I14" s="4"/>
      <c r="J14" s="4"/>
      <c r="K14" s="4"/>
      <c r="L14" s="4"/>
      <c r="M14" s="5" t="str">
        <f t="shared" si="3"/>
        <v/>
      </c>
      <c r="N14" s="5" t="str">
        <f t="shared" si="4"/>
        <v/>
      </c>
      <c r="O14" s="5" t="str">
        <f t="shared" si="5"/>
        <v/>
      </c>
      <c r="P14" s="5" t="str">
        <f t="shared" si="6"/>
        <v/>
      </c>
      <c r="Q14" s="5" t="str">
        <f t="shared" si="7"/>
        <v/>
      </c>
    </row>
    <row r="15" spans="1:17" s="15" customFormat="1" x14ac:dyDescent="0.15">
      <c r="A15" s="17"/>
      <c r="B15" s="2"/>
      <c r="C15" s="3"/>
      <c r="D15" s="3"/>
      <c r="E15" s="3"/>
      <c r="F15" s="3"/>
      <c r="G15" s="3"/>
      <c r="H15" s="4"/>
      <c r="I15" s="4"/>
      <c r="J15" s="4"/>
      <c r="K15" s="4"/>
      <c r="L15" s="4"/>
      <c r="M15" s="5" t="str">
        <f t="shared" si="3"/>
        <v/>
      </c>
      <c r="N15" s="5" t="str">
        <f t="shared" si="4"/>
        <v/>
      </c>
      <c r="O15" s="5" t="str">
        <f t="shared" si="5"/>
        <v/>
      </c>
      <c r="P15" s="5" t="str">
        <f t="shared" si="6"/>
        <v/>
      </c>
      <c r="Q15" s="5" t="str">
        <f t="shared" si="7"/>
        <v/>
      </c>
    </row>
    <row r="16" spans="1:17" s="15" customFormat="1" x14ac:dyDescent="0.15">
      <c r="A16" s="17"/>
      <c r="B16" s="2"/>
      <c r="C16" s="20"/>
      <c r="D16" s="3"/>
      <c r="E16" s="3"/>
      <c r="F16" s="3"/>
      <c r="G16" s="3"/>
      <c r="H16" s="4"/>
      <c r="I16" s="4"/>
      <c r="J16" s="4"/>
      <c r="K16" s="4"/>
      <c r="L16" s="4"/>
      <c r="M16" s="5" t="str">
        <f t="shared" si="3"/>
        <v/>
      </c>
      <c r="N16" s="5" t="str">
        <f t="shared" si="4"/>
        <v/>
      </c>
      <c r="O16" s="5" t="str">
        <f t="shared" si="5"/>
        <v/>
      </c>
      <c r="P16" s="5" t="str">
        <f t="shared" si="6"/>
        <v/>
      </c>
      <c r="Q16" s="5" t="str">
        <f t="shared" si="7"/>
        <v/>
      </c>
    </row>
    <row r="17" spans="1:17" s="15" customFormat="1" x14ac:dyDescent="0.15">
      <c r="A17" s="17"/>
      <c r="B17" s="2"/>
      <c r="C17" s="3"/>
      <c r="D17" s="3"/>
      <c r="E17" s="3"/>
      <c r="F17" s="3"/>
      <c r="G17" s="3"/>
      <c r="H17" s="4"/>
      <c r="I17" s="4"/>
      <c r="J17" s="4"/>
      <c r="K17" s="4"/>
      <c r="L17" s="4"/>
      <c r="M17" s="5" t="str">
        <f t="shared" si="3"/>
        <v/>
      </c>
      <c r="N17" s="5" t="str">
        <f t="shared" si="4"/>
        <v/>
      </c>
      <c r="O17" s="5" t="str">
        <f t="shared" si="5"/>
        <v/>
      </c>
      <c r="P17" s="5" t="str">
        <f t="shared" si="6"/>
        <v/>
      </c>
      <c r="Q17" s="5" t="str">
        <f t="shared" si="7"/>
        <v/>
      </c>
    </row>
    <row r="18" spans="1:17" s="15" customFormat="1" x14ac:dyDescent="0.15">
      <c r="A18" s="17"/>
      <c r="B18" s="2"/>
      <c r="C18" s="3"/>
      <c r="D18" s="3"/>
      <c r="E18" s="3"/>
      <c r="F18" s="3"/>
      <c r="G18" s="3"/>
      <c r="H18" s="4"/>
      <c r="I18" s="4"/>
      <c r="J18" s="4"/>
      <c r="K18" s="4"/>
      <c r="L18" s="4"/>
      <c r="M18" s="5" t="str">
        <f t="shared" si="3"/>
        <v/>
      </c>
      <c r="N18" s="5" t="str">
        <f t="shared" si="4"/>
        <v/>
      </c>
      <c r="O18" s="5" t="str">
        <f t="shared" si="5"/>
        <v/>
      </c>
      <c r="P18" s="5" t="str">
        <f t="shared" si="6"/>
        <v/>
      </c>
      <c r="Q18" s="5" t="str">
        <f t="shared" si="7"/>
        <v/>
      </c>
    </row>
    <row r="19" spans="1:17" s="15" customFormat="1" x14ac:dyDescent="0.15">
      <c r="A19" s="17"/>
      <c r="B19" s="2"/>
      <c r="C19" s="3"/>
      <c r="D19" s="3"/>
      <c r="E19" s="3"/>
      <c r="F19" s="3"/>
      <c r="G19" s="3"/>
      <c r="H19" s="4"/>
      <c r="I19" s="4"/>
      <c r="J19" s="4"/>
      <c r="K19" s="4"/>
      <c r="L19" s="4"/>
      <c r="M19" s="5" t="str">
        <f t="shared" si="3"/>
        <v/>
      </c>
      <c r="N19" s="5" t="str">
        <f t="shared" si="4"/>
        <v/>
      </c>
      <c r="O19" s="5" t="str">
        <f t="shared" si="5"/>
        <v/>
      </c>
      <c r="P19" s="5" t="str">
        <f t="shared" si="6"/>
        <v/>
      </c>
      <c r="Q19" s="5" t="str">
        <f t="shared" si="7"/>
        <v/>
      </c>
    </row>
    <row r="20" spans="1:17" s="19" customFormat="1" x14ac:dyDescent="0.15">
      <c r="A20" s="17"/>
      <c r="B20" s="2"/>
      <c r="C20" s="3"/>
      <c r="D20" s="3"/>
      <c r="E20" s="3"/>
      <c r="F20" s="3"/>
      <c r="G20" s="3"/>
      <c r="H20" s="4"/>
      <c r="I20" s="4"/>
      <c r="J20" s="4"/>
      <c r="K20" s="4"/>
      <c r="L20" s="4"/>
      <c r="M20" s="5" t="str">
        <f t="shared" si="3"/>
        <v/>
      </c>
      <c r="N20" s="5" t="str">
        <f t="shared" si="4"/>
        <v/>
      </c>
      <c r="O20" s="5" t="str">
        <f t="shared" si="5"/>
        <v/>
      </c>
      <c r="P20" s="5" t="str">
        <f t="shared" si="6"/>
        <v/>
      </c>
      <c r="Q20" s="5" t="str">
        <f t="shared" si="7"/>
        <v/>
      </c>
    </row>
    <row r="21" spans="1:17" s="15" customFormat="1" x14ac:dyDescent="0.15">
      <c r="A21" s="17"/>
      <c r="B21" s="2"/>
      <c r="C21" s="20"/>
      <c r="D21" s="3"/>
      <c r="E21" s="3"/>
      <c r="F21" s="3"/>
      <c r="G21" s="3"/>
      <c r="H21" s="4"/>
      <c r="I21" s="4"/>
      <c r="J21" s="4"/>
      <c r="K21" s="4"/>
      <c r="L21" s="4"/>
      <c r="M21" s="5" t="str">
        <f t="shared" si="3"/>
        <v/>
      </c>
      <c r="N21" s="5" t="str">
        <f t="shared" si="4"/>
        <v/>
      </c>
      <c r="O21" s="5" t="str">
        <f t="shared" si="5"/>
        <v/>
      </c>
      <c r="P21" s="5" t="str">
        <f t="shared" si="6"/>
        <v/>
      </c>
      <c r="Q21" s="5" t="str">
        <f t="shared" si="7"/>
        <v/>
      </c>
    </row>
    <row r="22" spans="1:17" x14ac:dyDescent="0.15">
      <c r="A22" s="17"/>
      <c r="B22" s="2"/>
      <c r="C22" s="3"/>
      <c r="D22" s="3"/>
      <c r="E22" s="3"/>
      <c r="F22" s="3"/>
      <c r="G22" s="3"/>
      <c r="H22" s="4"/>
      <c r="I22" s="4"/>
      <c r="J22" s="4"/>
      <c r="K22" s="4"/>
      <c r="L22" s="4"/>
      <c r="M22" s="5" t="str">
        <f t="shared" si="3"/>
        <v/>
      </c>
      <c r="N22" s="5" t="str">
        <f t="shared" si="4"/>
        <v/>
      </c>
      <c r="O22" s="5" t="str">
        <f t="shared" si="5"/>
        <v/>
      </c>
      <c r="P22" s="5" t="str">
        <f t="shared" si="6"/>
        <v/>
      </c>
      <c r="Q22" s="5" t="str">
        <f t="shared" si="7"/>
        <v/>
      </c>
    </row>
    <row r="23" spans="1:17" ht="14.25" thickBot="1" x14ac:dyDescent="0.2">
      <c r="A23" s="6"/>
      <c r="B23" s="6"/>
      <c r="C23" s="7"/>
      <c r="D23" s="7"/>
      <c r="E23" s="7"/>
      <c r="F23" s="7"/>
      <c r="G23" s="7"/>
      <c r="H23" s="6"/>
      <c r="I23" s="6"/>
      <c r="J23" s="6"/>
      <c r="K23" s="6"/>
      <c r="L23" s="6"/>
      <c r="M23" s="8"/>
      <c r="N23" s="8"/>
      <c r="O23" s="8"/>
      <c r="P23" s="8"/>
      <c r="Q23" s="8"/>
    </row>
    <row r="24" spans="1:17" ht="21" customHeight="1" thickTop="1" x14ac:dyDescent="0.15">
      <c r="B24" s="9" t="s">
        <v>4</v>
      </c>
      <c r="C24" s="10">
        <f>SUM(C3:C22)-SUM(M3:M22)</f>
        <v>47.5</v>
      </c>
      <c r="D24" s="10">
        <f>SUM(D3:D22)-SUM(N3:N22)</f>
        <v>-10</v>
      </c>
      <c r="E24" s="10">
        <f>SUM(E3:E22)-SUM(O3:O22)</f>
        <v>7</v>
      </c>
      <c r="F24" s="10">
        <f>SUM(F3:F22)-SUM(P3:P22)</f>
        <v>-42</v>
      </c>
      <c r="G24" s="10">
        <f>SUM(G3:G22)-SUM(Q3:Q22)</f>
        <v>-2.5</v>
      </c>
    </row>
    <row r="25" spans="1:17" ht="42" customHeight="1" thickBot="1" x14ac:dyDescent="0.2">
      <c r="A25" s="33" t="s">
        <v>26</v>
      </c>
      <c r="B25" s="18" t="s">
        <v>10</v>
      </c>
      <c r="C25" s="1" t="str">
        <f>C2</f>
        <v>1P</v>
      </c>
      <c r="D25" s="15" t="str">
        <f t="shared" ref="D25:G25" si="8">D2</f>
        <v>2P</v>
      </c>
      <c r="E25" s="15" t="str">
        <f t="shared" si="8"/>
        <v>3P</v>
      </c>
      <c r="F25" s="15" t="str">
        <f t="shared" si="8"/>
        <v>4P</v>
      </c>
      <c r="G25" s="15" t="str">
        <f t="shared" si="8"/>
        <v>5P</v>
      </c>
      <c r="H25" s="32" t="s">
        <v>5</v>
      </c>
      <c r="I25" s="32"/>
      <c r="J25" s="11"/>
      <c r="K25" s="11"/>
      <c r="L25" s="12">
        <f>SUM(M26:Q30)</f>
        <v>4</v>
      </c>
      <c r="M25" s="12"/>
      <c r="N25" s="12"/>
      <c r="O25" s="12"/>
      <c r="P25" s="12"/>
      <c r="Q25" s="12"/>
    </row>
    <row r="26" spans="1:17" x14ac:dyDescent="0.15">
      <c r="B26" s="1" t="str">
        <f t="array" ref="B26:B30">TRANSPOSE(C2:G2)</f>
        <v>1P</v>
      </c>
      <c r="C26" s="23">
        <v>0</v>
      </c>
      <c r="D26" s="24">
        <v>0</v>
      </c>
      <c r="E26" s="24">
        <v>0</v>
      </c>
      <c r="F26" s="24">
        <v>0</v>
      </c>
      <c r="G26" s="25">
        <v>0</v>
      </c>
      <c r="H26" s="12">
        <f>SUM(C26:G26)</f>
        <v>0</v>
      </c>
      <c r="I26" s="1">
        <f>IF(J26&lt;0,ABS(J26),0)</f>
        <v>0</v>
      </c>
      <c r="J26" s="13">
        <f t="array" ref="J26:J30">TRANSPOSE(C24:G24)</f>
        <v>47.5</v>
      </c>
      <c r="K26" s="13"/>
      <c r="L26" s="12"/>
      <c r="M26" s="1">
        <v>0</v>
      </c>
      <c r="N26" s="1">
        <v>0</v>
      </c>
      <c r="O26" s="1">
        <v>0</v>
      </c>
      <c r="P26" s="1">
        <v>0</v>
      </c>
      <c r="Q26" s="1">
        <v>0</v>
      </c>
    </row>
    <row r="27" spans="1:17" x14ac:dyDescent="0.15">
      <c r="B27" s="1" t="str">
        <v>2P</v>
      </c>
      <c r="C27" s="26">
        <v>10.000000541989088</v>
      </c>
      <c r="D27" s="22">
        <v>0</v>
      </c>
      <c r="E27" s="22">
        <v>0</v>
      </c>
      <c r="F27" s="22">
        <v>0</v>
      </c>
      <c r="G27" s="27">
        <v>0</v>
      </c>
      <c r="H27" s="12">
        <f t="shared" ref="H27:H30" si="9">SUM(C27:G27)</f>
        <v>10.000000541989088</v>
      </c>
      <c r="I27" s="1">
        <f t="shared" ref="I27:I30" si="10">IF(J27&lt;0,ABS(J27),0)</f>
        <v>10</v>
      </c>
      <c r="J27" s="13">
        <v>-10</v>
      </c>
      <c r="K27" s="13"/>
      <c r="L27" s="12"/>
      <c r="M27" s="1">
        <v>1</v>
      </c>
      <c r="N27" s="1">
        <v>0</v>
      </c>
      <c r="O27" s="1">
        <v>0</v>
      </c>
      <c r="P27" s="1">
        <v>0</v>
      </c>
      <c r="Q27" s="1">
        <v>0</v>
      </c>
    </row>
    <row r="28" spans="1:17" x14ac:dyDescent="0.15">
      <c r="B28" s="1" t="str">
        <v>3P</v>
      </c>
      <c r="C28" s="26">
        <v>0</v>
      </c>
      <c r="D28" s="22">
        <v>0</v>
      </c>
      <c r="E28" s="22">
        <v>0</v>
      </c>
      <c r="F28" s="22">
        <v>0</v>
      </c>
      <c r="G28" s="27">
        <v>0</v>
      </c>
      <c r="H28" s="12">
        <f t="shared" si="9"/>
        <v>0</v>
      </c>
      <c r="I28" s="1">
        <f t="shared" si="10"/>
        <v>0</v>
      </c>
      <c r="J28" s="13">
        <v>7</v>
      </c>
      <c r="K28" s="13"/>
      <c r="L28" s="12"/>
      <c r="M28" s="1">
        <v>0</v>
      </c>
      <c r="N28" s="1">
        <v>0</v>
      </c>
      <c r="O28" s="1">
        <v>0</v>
      </c>
      <c r="P28" s="1">
        <v>0</v>
      </c>
      <c r="Q28" s="1">
        <v>0</v>
      </c>
    </row>
    <row r="29" spans="1:17" x14ac:dyDescent="0.15">
      <c r="B29" s="1" t="str">
        <v>4P</v>
      </c>
      <c r="C29" s="26">
        <v>37.499999458010905</v>
      </c>
      <c r="D29" s="22">
        <v>0</v>
      </c>
      <c r="E29" s="22">
        <v>4.5000005441360367</v>
      </c>
      <c r="F29" s="22">
        <v>0</v>
      </c>
      <c r="G29" s="27">
        <v>0</v>
      </c>
      <c r="H29" s="12">
        <f t="shared" si="9"/>
        <v>42.00000000214694</v>
      </c>
      <c r="I29" s="1">
        <f t="shared" si="10"/>
        <v>42</v>
      </c>
      <c r="J29" s="13">
        <v>-42</v>
      </c>
      <c r="K29" s="13"/>
      <c r="L29" s="12"/>
      <c r="M29" s="1">
        <v>1</v>
      </c>
      <c r="N29" s="1">
        <v>0</v>
      </c>
      <c r="O29" s="1">
        <v>1</v>
      </c>
      <c r="P29" s="1">
        <v>0</v>
      </c>
      <c r="Q29" s="1">
        <v>0</v>
      </c>
    </row>
    <row r="30" spans="1:17" ht="14.25" thickBot="1" x14ac:dyDescent="0.2">
      <c r="B30" s="1" t="str">
        <v>5P</v>
      </c>
      <c r="C30" s="28">
        <v>0</v>
      </c>
      <c r="D30" s="29">
        <v>0</v>
      </c>
      <c r="E30" s="29">
        <v>2.5000024999916666</v>
      </c>
      <c r="F30" s="29">
        <v>0</v>
      </c>
      <c r="G30" s="30">
        <v>0</v>
      </c>
      <c r="H30" s="12">
        <f t="shared" si="9"/>
        <v>2.5000024999916666</v>
      </c>
      <c r="I30" s="1">
        <f t="shared" si="10"/>
        <v>2.5</v>
      </c>
      <c r="J30" s="13">
        <v>-2.5</v>
      </c>
      <c r="M30" s="1">
        <v>0</v>
      </c>
      <c r="N30" s="1">
        <v>0</v>
      </c>
      <c r="O30" s="1">
        <v>1</v>
      </c>
      <c r="P30" s="1">
        <v>0</v>
      </c>
      <c r="Q30" s="1">
        <v>0</v>
      </c>
    </row>
    <row r="31" spans="1:17" x14ac:dyDescent="0.15">
      <c r="B31" s="1" t="s">
        <v>6</v>
      </c>
      <c r="C31" s="14">
        <f>SUM(C26:C30)</f>
        <v>47.499999999999993</v>
      </c>
      <c r="D31" s="14">
        <f t="shared" ref="D31:G31" si="11">SUM(D26:D30)</f>
        <v>0</v>
      </c>
      <c r="E31" s="14">
        <f t="shared" si="11"/>
        <v>7.0000030441277037</v>
      </c>
      <c r="F31" s="14">
        <f t="shared" si="11"/>
        <v>0</v>
      </c>
      <c r="G31" s="14">
        <f t="shared" si="11"/>
        <v>0</v>
      </c>
    </row>
    <row r="32" spans="1:17" x14ac:dyDescent="0.15">
      <c r="C32" s="1">
        <f>IF(C24&gt;0,C24,0)</f>
        <v>47.5</v>
      </c>
      <c r="D32" s="1">
        <f t="shared" ref="D32:G32" si="12">IF(D24&gt;0,D24,0)</f>
        <v>0</v>
      </c>
      <c r="E32" s="1">
        <f t="shared" si="12"/>
        <v>7</v>
      </c>
      <c r="F32" s="1">
        <f t="shared" si="12"/>
        <v>0</v>
      </c>
      <c r="G32" s="1">
        <f t="shared" si="12"/>
        <v>0</v>
      </c>
    </row>
  </sheetData>
  <sheetProtection selectLockedCells="1"/>
  <mergeCells count="6">
    <mergeCell ref="M1:Q1"/>
    <mergeCell ref="H25:I25"/>
    <mergeCell ref="A1:A2"/>
    <mergeCell ref="B1:B2"/>
    <mergeCell ref="C1:G1"/>
    <mergeCell ref="H1:L1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QuickPay</vt:lpstr>
      <vt:lpstr>QuickPay!expand_transaction_from_description_4</vt:lpstr>
    </vt:vector>
  </TitlesOfParts>
  <Company>Sunny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Cutee</dc:creator>
  <cp:lastModifiedBy>Cutee</cp:lastModifiedBy>
  <dcterms:created xsi:type="dcterms:W3CDTF">2012-06-25T13:00:57Z</dcterms:created>
  <dcterms:modified xsi:type="dcterms:W3CDTF">2014-08-03T14:49:47Z</dcterms:modified>
</cp:coreProperties>
</file>